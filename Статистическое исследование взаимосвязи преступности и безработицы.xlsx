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Павел\Desktop\"/>
    </mc:Choice>
  </mc:AlternateContent>
  <xr:revisionPtr revIDLastSave="0" documentId="8_{E370E013-497C-4E6F-8BA7-7DBA67BE0363}" xr6:coauthVersionLast="37" xr6:coauthVersionMax="37" xr10:uidLastSave="{00000000-0000-0000-0000-000000000000}"/>
  <bookViews>
    <workbookView xWindow="0" yWindow="0" windowWidth="23040" windowHeight="9060" activeTab="1" xr2:uid="{00000000-000D-0000-FFFF-FFFF00000000}"/>
  </bookViews>
  <sheets>
    <sheet name="Показатели преступности России" sheetId="1" r:id="rId1"/>
    <sheet name="Анализ данных" sheetId="6" r:id="rId2"/>
    <sheet name="Лист1" sheetId="7" r:id="rId3"/>
    <sheet name="2021 г." sheetId="5" r:id="rId4"/>
  </sheets>
  <definedNames>
    <definedName name="_xlchart.v1.0" hidden="1">'2021 г.'!$C$1:$C$2</definedName>
    <definedName name="_xlchart.v1.1" hidden="1">'2021 г.'!$C$3:$C$91</definedName>
    <definedName name="_xlchart.v1.2" hidden="1">'2021 г.'!$D$1:$D$2</definedName>
    <definedName name="_xlchart.v1.3" hidden="1">'2021 г.'!$D$3:$D$91</definedName>
  </definedNames>
  <calcPr calcId="179021"/>
</workbook>
</file>

<file path=xl/calcChain.xml><?xml version="1.0" encoding="utf-8"?>
<calcChain xmlns="http://schemas.openxmlformats.org/spreadsheetml/2006/main">
  <c r="J106" i="7" l="1"/>
  <c r="J10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25" i="7"/>
  <c r="AZ5" i="5" l="1"/>
  <c r="AZ4" i="5"/>
  <c r="AZ3" i="5"/>
  <c r="AZ2" i="5"/>
  <c r="AZ7" i="5"/>
  <c r="AV4" i="5"/>
  <c r="AV5" i="5"/>
  <c r="AV6" i="5"/>
  <c r="AV7" i="5"/>
  <c r="AV8" i="5"/>
  <c r="AV9" i="5"/>
  <c r="AV10" i="5"/>
  <c r="AV11" i="5"/>
  <c r="AV12" i="5"/>
  <c r="AV13" i="5"/>
  <c r="AV14" i="5"/>
  <c r="AV15" i="5"/>
  <c r="AV16" i="5"/>
  <c r="AV17" i="5"/>
  <c r="AV18" i="5"/>
  <c r="AV19" i="5"/>
  <c r="AV20" i="5"/>
  <c r="AV21" i="5"/>
  <c r="AV22" i="5"/>
  <c r="AV23" i="5"/>
  <c r="AV24" i="5"/>
  <c r="AV25" i="5"/>
  <c r="AV26" i="5"/>
  <c r="AV27" i="5"/>
  <c r="AV28" i="5"/>
  <c r="AV29" i="5"/>
  <c r="AV30" i="5"/>
  <c r="AV31" i="5"/>
  <c r="AV32" i="5"/>
  <c r="AV33" i="5"/>
  <c r="AV34" i="5"/>
  <c r="AV35" i="5"/>
  <c r="AV36" i="5"/>
  <c r="AV37" i="5"/>
  <c r="AV38" i="5"/>
  <c r="AV39" i="5"/>
  <c r="AV40" i="5"/>
  <c r="AV41" i="5"/>
  <c r="AV42" i="5"/>
  <c r="AV43" i="5"/>
  <c r="AV44" i="5"/>
  <c r="AV45" i="5"/>
  <c r="AV46" i="5"/>
  <c r="AV47" i="5"/>
  <c r="AV48" i="5"/>
  <c r="AV49" i="5"/>
  <c r="AV50" i="5"/>
  <c r="AV51" i="5"/>
  <c r="AV52" i="5"/>
  <c r="AV53" i="5"/>
  <c r="AV54" i="5"/>
  <c r="AV55" i="5"/>
  <c r="AV56" i="5"/>
  <c r="AV57" i="5"/>
  <c r="AV58" i="5"/>
  <c r="AV59" i="5"/>
  <c r="AV60" i="5"/>
  <c r="AV61" i="5"/>
  <c r="AV62" i="5"/>
  <c r="AV63" i="5"/>
  <c r="AV64" i="5"/>
  <c r="AV65" i="5"/>
  <c r="AV66" i="5"/>
  <c r="AV67" i="5"/>
  <c r="AV68" i="5"/>
  <c r="AV69" i="5"/>
  <c r="AV70" i="5"/>
  <c r="AV71" i="5"/>
  <c r="AV72" i="5"/>
  <c r="AV73" i="5"/>
  <c r="AV74" i="5"/>
  <c r="AV75" i="5"/>
  <c r="AV76" i="5"/>
  <c r="AV77" i="5"/>
  <c r="AV78" i="5"/>
  <c r="AV79" i="5"/>
  <c r="AV80" i="5"/>
  <c r="AV81" i="5"/>
  <c r="AV82" i="5"/>
  <c r="AV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3" i="5"/>
  <c r="AS4" i="5"/>
  <c r="AS5" i="5"/>
  <c r="AS6" i="5"/>
  <c r="AS7" i="5"/>
  <c r="AS8" i="5"/>
  <c r="AS9" i="5"/>
  <c r="AS10" i="5"/>
  <c r="AS11" i="5"/>
  <c r="AS12" i="5"/>
  <c r="AS13" i="5"/>
  <c r="AS14" i="5"/>
  <c r="AS15" i="5"/>
  <c r="AW15" i="5" s="1"/>
  <c r="AS16" i="5"/>
  <c r="AS17" i="5"/>
  <c r="AS18" i="5"/>
  <c r="AS19" i="5"/>
  <c r="AS20" i="5"/>
  <c r="AS21" i="5"/>
  <c r="AS22" i="5"/>
  <c r="AS23" i="5"/>
  <c r="AS24" i="5"/>
  <c r="AS25" i="5"/>
  <c r="AS26" i="5"/>
  <c r="AS27" i="5"/>
  <c r="AW27" i="5" s="1"/>
  <c r="AS28" i="5"/>
  <c r="AS29" i="5"/>
  <c r="AS30" i="5"/>
  <c r="AS31" i="5"/>
  <c r="AS32" i="5"/>
  <c r="AS33" i="5"/>
  <c r="AS34" i="5"/>
  <c r="AS35" i="5"/>
  <c r="AS36" i="5"/>
  <c r="AS37" i="5"/>
  <c r="AS38" i="5"/>
  <c r="AS39" i="5"/>
  <c r="AW39" i="5" s="1"/>
  <c r="AS40" i="5"/>
  <c r="AS41" i="5"/>
  <c r="AS42" i="5"/>
  <c r="AS43" i="5"/>
  <c r="AS44" i="5"/>
  <c r="AS45" i="5"/>
  <c r="AS46" i="5"/>
  <c r="AS47" i="5"/>
  <c r="AS48" i="5"/>
  <c r="AS49" i="5"/>
  <c r="AS50" i="5"/>
  <c r="AW50" i="5" s="1"/>
  <c r="AS51" i="5"/>
  <c r="AW51" i="5" s="1"/>
  <c r="AS52" i="5"/>
  <c r="AS53" i="5"/>
  <c r="AS54" i="5"/>
  <c r="AS55" i="5"/>
  <c r="AS56" i="5"/>
  <c r="AS57" i="5"/>
  <c r="AS58" i="5"/>
  <c r="AS59" i="5"/>
  <c r="AS60" i="5"/>
  <c r="AS61" i="5"/>
  <c r="AS62" i="5"/>
  <c r="AW62" i="5" s="1"/>
  <c r="AS63" i="5"/>
  <c r="AW63" i="5" s="1"/>
  <c r="AS64" i="5"/>
  <c r="AS65" i="5"/>
  <c r="AS66" i="5"/>
  <c r="AS67" i="5"/>
  <c r="AS68" i="5"/>
  <c r="AS69" i="5"/>
  <c r="AS70" i="5"/>
  <c r="AS71" i="5"/>
  <c r="AS72" i="5"/>
  <c r="AS73" i="5"/>
  <c r="AS74" i="5"/>
  <c r="AW74" i="5" s="1"/>
  <c r="AS75" i="5"/>
  <c r="AW75" i="5" s="1"/>
  <c r="AS76" i="5"/>
  <c r="AS77" i="5"/>
  <c r="AS78" i="5"/>
  <c r="AS79" i="5"/>
  <c r="AS80" i="5"/>
  <c r="AS81" i="5"/>
  <c r="AS82" i="5"/>
  <c r="AW82" i="5" s="1"/>
  <c r="AS3" i="5"/>
  <c r="AR4" i="5"/>
  <c r="AR5" i="5"/>
  <c r="AR6" i="5"/>
  <c r="AR7" i="5"/>
  <c r="AR8" i="5"/>
  <c r="AR9" i="5"/>
  <c r="AR10" i="5"/>
  <c r="AR11" i="5"/>
  <c r="AR12" i="5"/>
  <c r="AR13" i="5"/>
  <c r="AR14" i="5"/>
  <c r="AR15" i="5"/>
  <c r="AR16" i="5"/>
  <c r="AR17" i="5"/>
  <c r="AR18" i="5"/>
  <c r="AR19" i="5"/>
  <c r="AR20" i="5"/>
  <c r="AR21" i="5"/>
  <c r="AR22" i="5"/>
  <c r="AR23" i="5"/>
  <c r="AR24" i="5"/>
  <c r="AR25" i="5"/>
  <c r="AR26" i="5"/>
  <c r="AR27" i="5"/>
  <c r="AR28" i="5"/>
  <c r="AR29" i="5"/>
  <c r="AR30" i="5"/>
  <c r="AR31" i="5"/>
  <c r="AR32" i="5"/>
  <c r="AR33" i="5"/>
  <c r="AR34" i="5"/>
  <c r="AR35" i="5"/>
  <c r="AR36" i="5"/>
  <c r="AR37" i="5"/>
  <c r="AR38" i="5"/>
  <c r="AR39" i="5"/>
  <c r="AR40" i="5"/>
  <c r="AR41" i="5"/>
  <c r="AR42" i="5"/>
  <c r="AR43" i="5"/>
  <c r="AR44" i="5"/>
  <c r="AR45" i="5"/>
  <c r="AR46" i="5"/>
  <c r="AR47" i="5"/>
  <c r="AR48" i="5"/>
  <c r="AR49" i="5"/>
  <c r="AR50" i="5"/>
  <c r="AR51" i="5"/>
  <c r="AR52" i="5"/>
  <c r="AR53" i="5"/>
  <c r="AR54" i="5"/>
  <c r="AR55" i="5"/>
  <c r="AR56" i="5"/>
  <c r="AR57" i="5"/>
  <c r="AR58" i="5"/>
  <c r="AR59" i="5"/>
  <c r="AR60" i="5"/>
  <c r="AR61" i="5"/>
  <c r="AR62" i="5"/>
  <c r="AR63" i="5"/>
  <c r="AR64" i="5"/>
  <c r="AR65" i="5"/>
  <c r="AR66" i="5"/>
  <c r="AR67" i="5"/>
  <c r="AR68" i="5"/>
  <c r="AR69" i="5"/>
  <c r="AR70" i="5"/>
  <c r="AR71" i="5"/>
  <c r="AR72" i="5"/>
  <c r="AR73" i="5"/>
  <c r="AR74" i="5"/>
  <c r="AR75" i="5"/>
  <c r="AR76" i="5"/>
  <c r="AR77" i="5"/>
  <c r="AR78" i="5"/>
  <c r="AR79" i="5"/>
  <c r="AR80" i="5"/>
  <c r="AT80" i="5" s="1"/>
  <c r="AR81" i="5"/>
  <c r="AR82" i="5"/>
  <c r="AR3" i="5"/>
  <c r="AT82" i="5"/>
  <c r="AW81" i="5"/>
  <c r="AW80" i="5"/>
  <c r="AW79" i="5"/>
  <c r="AW78" i="5"/>
  <c r="AT78" i="5"/>
  <c r="AW77" i="5"/>
  <c r="AT77" i="5"/>
  <c r="AW76" i="5"/>
  <c r="AT76" i="5"/>
  <c r="AW73" i="5"/>
  <c r="AW72" i="5"/>
  <c r="AW71" i="5"/>
  <c r="AW70" i="5"/>
  <c r="AT70" i="5"/>
  <c r="AW69" i="5"/>
  <c r="AW68" i="5"/>
  <c r="AT68" i="5"/>
  <c r="AW67" i="5"/>
  <c r="AT67" i="5"/>
  <c r="AW66" i="5"/>
  <c r="AT66" i="5"/>
  <c r="AW65" i="5"/>
  <c r="AW64" i="5"/>
  <c r="AT64" i="5"/>
  <c r="AW61" i="5"/>
  <c r="AW60" i="5"/>
  <c r="AT60" i="5"/>
  <c r="AW59" i="5"/>
  <c r="AT59" i="5"/>
  <c r="AW58" i="5"/>
  <c r="AT58" i="5"/>
  <c r="AW57" i="5"/>
  <c r="AW56" i="5"/>
  <c r="AT56" i="5"/>
  <c r="AW55" i="5"/>
  <c r="AW54" i="5"/>
  <c r="AT54" i="5"/>
  <c r="AW53" i="5"/>
  <c r="AT53" i="5"/>
  <c r="AW52" i="5"/>
  <c r="AT52" i="5"/>
  <c r="AW49" i="5"/>
  <c r="AW48" i="5"/>
  <c r="AT48" i="5"/>
  <c r="AW47" i="5"/>
  <c r="AT47" i="5"/>
  <c r="AW46" i="5"/>
  <c r="AT46" i="5"/>
  <c r="AW45" i="5"/>
  <c r="AW44" i="5"/>
  <c r="AT44" i="5"/>
  <c r="AW43" i="5"/>
  <c r="AW42" i="5"/>
  <c r="AT42" i="5"/>
  <c r="AW41" i="5"/>
  <c r="AT41" i="5"/>
  <c r="AW40" i="5"/>
  <c r="AT40" i="5"/>
  <c r="AW38" i="5"/>
  <c r="AW37" i="5"/>
  <c r="AW36" i="5"/>
  <c r="AT36" i="5"/>
  <c r="AW35" i="5"/>
  <c r="AT35" i="5"/>
  <c r="AW34" i="5"/>
  <c r="AT34" i="5"/>
  <c r="AW33" i="5"/>
  <c r="AW32" i="5"/>
  <c r="AT32" i="5"/>
  <c r="AW31" i="5"/>
  <c r="AT31" i="5"/>
  <c r="AW30" i="5"/>
  <c r="AT30" i="5"/>
  <c r="AW29" i="5"/>
  <c r="AW28" i="5"/>
  <c r="AT28" i="5"/>
  <c r="AW26" i="5"/>
  <c r="AT26" i="5"/>
  <c r="AW25" i="5"/>
  <c r="AW24" i="5"/>
  <c r="AT24" i="5"/>
  <c r="AW23" i="5"/>
  <c r="AW22" i="5"/>
  <c r="AT22" i="5"/>
  <c r="AW21" i="5"/>
  <c r="AT21" i="5"/>
  <c r="AW20" i="5"/>
  <c r="AT20" i="5"/>
  <c r="AW19" i="5"/>
  <c r="AT19" i="5"/>
  <c r="AW18" i="5"/>
  <c r="AT18" i="5"/>
  <c r="AW17" i="5"/>
  <c r="AW16" i="5"/>
  <c r="AT16" i="5"/>
  <c r="AW14" i="5"/>
  <c r="AT14" i="5"/>
  <c r="AW13" i="5"/>
  <c r="AT13" i="5"/>
  <c r="AW12" i="5"/>
  <c r="AT12" i="5"/>
  <c r="AW11" i="5"/>
  <c r="AT11" i="5"/>
  <c r="AW10" i="5"/>
  <c r="AT10" i="5"/>
  <c r="AW9" i="5"/>
  <c r="AW8" i="5"/>
  <c r="AT8" i="5"/>
  <c r="AW7" i="5"/>
  <c r="AW6" i="5"/>
  <c r="AT6" i="5"/>
  <c r="AW5" i="5"/>
  <c r="AT5" i="5"/>
  <c r="AW4" i="5"/>
  <c r="AT4" i="5"/>
  <c r="AW3" i="5"/>
  <c r="AT3" i="5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25" i="6"/>
  <c r="I106" i="6"/>
  <c r="I10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25" i="6"/>
  <c r="AZ8" i="5" l="1"/>
  <c r="AT27" i="5"/>
  <c r="AT50" i="5"/>
  <c r="AT74" i="5"/>
  <c r="AT62" i="5"/>
  <c r="AT38" i="5"/>
  <c r="AT72" i="5"/>
  <c r="AT71" i="5"/>
  <c r="AT81" i="5"/>
  <c r="AW83" i="5"/>
  <c r="AT79" i="5"/>
  <c r="AT37" i="5"/>
  <c r="AT43" i="5"/>
  <c r="AT51" i="5"/>
  <c r="AT57" i="5"/>
  <c r="AT65" i="5"/>
  <c r="AT75" i="5"/>
  <c r="AT7" i="5"/>
  <c r="AT83" i="5" s="1"/>
  <c r="AT15" i="5"/>
  <c r="AT23" i="5"/>
  <c r="AT29" i="5"/>
  <c r="AT39" i="5"/>
  <c r="AT49" i="5"/>
  <c r="AT55" i="5"/>
  <c r="AT63" i="5"/>
  <c r="AT69" i="5"/>
  <c r="AT73" i="5"/>
  <c r="AR83" i="5"/>
  <c r="AU43" i="5" s="1"/>
  <c r="AT9" i="5"/>
  <c r="AT17" i="5"/>
  <c r="AT25" i="5"/>
  <c r="AT33" i="5"/>
  <c r="AT45" i="5"/>
  <c r="AT61" i="5"/>
  <c r="AS83" i="5"/>
  <c r="AI4" i="5"/>
  <c r="AU27" i="5" l="1"/>
  <c r="AU79" i="5"/>
  <c r="AU73" i="5"/>
  <c r="AU7" i="5"/>
  <c r="AU33" i="5"/>
  <c r="AU55" i="5"/>
  <c r="AU77" i="5"/>
  <c r="AU9" i="5"/>
  <c r="AU57" i="5"/>
  <c r="AU21" i="5"/>
  <c r="AU13" i="5"/>
  <c r="AU11" i="5"/>
  <c r="AU5" i="5"/>
  <c r="AU61" i="5"/>
  <c r="AV83" i="5"/>
  <c r="AU82" i="5"/>
  <c r="AU80" i="5"/>
  <c r="AU78" i="5"/>
  <c r="AU76" i="5"/>
  <c r="AU74" i="5"/>
  <c r="AU72" i="5"/>
  <c r="AU70" i="5"/>
  <c r="AU68" i="5"/>
  <c r="AU66" i="5"/>
  <c r="AU64" i="5"/>
  <c r="AU62" i="5"/>
  <c r="AU60" i="5"/>
  <c r="AU58" i="5"/>
  <c r="AU56" i="5"/>
  <c r="AU54" i="5"/>
  <c r="AU52" i="5"/>
  <c r="AU50" i="5"/>
  <c r="AU48" i="5"/>
  <c r="AU46" i="5"/>
  <c r="AU44" i="5"/>
  <c r="AU42" i="5"/>
  <c r="AU40" i="5"/>
  <c r="AU38" i="5"/>
  <c r="AU36" i="5"/>
  <c r="AU34" i="5"/>
  <c r="AU32" i="5"/>
  <c r="AU30" i="5"/>
  <c r="AU28" i="5"/>
  <c r="AU26" i="5"/>
  <c r="AU24" i="5"/>
  <c r="AU22" i="5"/>
  <c r="AU20" i="5"/>
  <c r="AU18" i="5"/>
  <c r="AU16" i="5"/>
  <c r="AU14" i="5"/>
  <c r="AU12" i="5"/>
  <c r="AU10" i="5"/>
  <c r="AU8" i="5"/>
  <c r="AU6" i="5"/>
  <c r="AU4" i="5"/>
  <c r="AU67" i="5"/>
  <c r="AU59" i="5"/>
  <c r="AU3" i="5"/>
  <c r="AU83" i="5" s="1"/>
  <c r="AU65" i="5"/>
  <c r="AU49" i="5"/>
  <c r="AU29" i="5"/>
  <c r="AU63" i="5"/>
  <c r="AU81" i="5"/>
  <c r="AU47" i="5"/>
  <c r="AU41" i="5"/>
  <c r="AU37" i="5"/>
  <c r="AU39" i="5"/>
  <c r="AU19" i="5"/>
  <c r="AU71" i="5"/>
  <c r="AU53" i="5"/>
  <c r="AU35" i="5"/>
  <c r="AU69" i="5"/>
  <c r="AU75" i="5"/>
  <c r="AU15" i="5"/>
  <c r="AU23" i="5"/>
  <c r="AU17" i="5"/>
  <c r="AU31" i="5"/>
  <c r="AU45" i="5"/>
  <c r="AU51" i="5"/>
  <c r="AU25" i="5"/>
  <c r="AB3" i="5"/>
  <c r="Y83" i="5"/>
  <c r="U8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3" i="5"/>
  <c r="AC6" i="5" l="1"/>
  <c r="V73" i="5"/>
  <c r="V79" i="5"/>
  <c r="V31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3" i="5"/>
  <c r="D5" i="1"/>
  <c r="R4" i="5" s="1"/>
  <c r="T4" i="5" s="1"/>
  <c r="D6" i="1"/>
  <c r="R5" i="5" s="1"/>
  <c r="T5" i="5" s="1"/>
  <c r="D7" i="1"/>
  <c r="R6" i="5" s="1"/>
  <c r="T6" i="5" s="1"/>
  <c r="D8" i="1"/>
  <c r="R7" i="5" s="1"/>
  <c r="T7" i="5" s="1"/>
  <c r="D9" i="1"/>
  <c r="R8" i="5" s="1"/>
  <c r="T8" i="5" s="1"/>
  <c r="V8" i="5" s="1"/>
  <c r="D10" i="1"/>
  <c r="R9" i="5" s="1"/>
  <c r="T9" i="5" s="1"/>
  <c r="V9" i="5" s="1"/>
  <c r="D11" i="1"/>
  <c r="R10" i="5" s="1"/>
  <c r="T10" i="5" s="1"/>
  <c r="V10" i="5" s="1"/>
  <c r="D12" i="1"/>
  <c r="R11" i="5" s="1"/>
  <c r="T11" i="5" s="1"/>
  <c r="V11" i="5" s="1"/>
  <c r="D13" i="1"/>
  <c r="R12" i="5" s="1"/>
  <c r="T12" i="5" s="1"/>
  <c r="V12" i="5" s="1"/>
  <c r="D14" i="1"/>
  <c r="R13" i="5" s="1"/>
  <c r="T13" i="5" s="1"/>
  <c r="D15" i="1"/>
  <c r="R14" i="5" s="1"/>
  <c r="T14" i="5" s="1"/>
  <c r="D16" i="1"/>
  <c r="R15" i="5" s="1"/>
  <c r="T15" i="5" s="1"/>
  <c r="D17" i="1"/>
  <c r="R16" i="5" s="1"/>
  <c r="T16" i="5" s="1"/>
  <c r="D18" i="1"/>
  <c r="R17" i="5" s="1"/>
  <c r="T17" i="5" s="1"/>
  <c r="D19" i="1"/>
  <c r="R18" i="5" s="1"/>
  <c r="T18" i="5" s="1"/>
  <c r="D20" i="1"/>
  <c r="R19" i="5" s="1"/>
  <c r="T19" i="5" s="1"/>
  <c r="D21" i="1"/>
  <c r="R20" i="5" s="1"/>
  <c r="T20" i="5" s="1"/>
  <c r="D22" i="1"/>
  <c r="R21" i="5" s="1"/>
  <c r="T21" i="5" s="1"/>
  <c r="D23" i="1"/>
  <c r="R22" i="5" s="1"/>
  <c r="T22" i="5" s="1"/>
  <c r="D24" i="1"/>
  <c r="R23" i="5" s="1"/>
  <c r="T23" i="5" s="1"/>
  <c r="D25" i="1"/>
  <c r="R24" i="5" s="1"/>
  <c r="T24" i="5" s="1"/>
  <c r="D26" i="1"/>
  <c r="D27" i="1"/>
  <c r="R25" i="5" s="1"/>
  <c r="T25" i="5" s="1"/>
  <c r="D28" i="1"/>
  <c r="R26" i="5" s="1"/>
  <c r="T26" i="5" s="1"/>
  <c r="V26" i="5" s="1"/>
  <c r="D29" i="1"/>
  <c r="R27" i="5" s="1"/>
  <c r="T27" i="5" s="1"/>
  <c r="D30" i="1"/>
  <c r="R28" i="5" s="1"/>
  <c r="T28" i="5" s="1"/>
  <c r="D31" i="1"/>
  <c r="R29" i="5" s="1"/>
  <c r="T29" i="5" s="1"/>
  <c r="D32" i="1"/>
  <c r="R30" i="5" s="1"/>
  <c r="T30" i="5" s="1"/>
  <c r="D33" i="1"/>
  <c r="D34" i="1"/>
  <c r="R31" i="5" s="1"/>
  <c r="T31" i="5" s="1"/>
  <c r="D35" i="1"/>
  <c r="R32" i="5" s="1"/>
  <c r="T32" i="5" s="1"/>
  <c r="D36" i="1"/>
  <c r="R33" i="5" s="1"/>
  <c r="T33" i="5" s="1"/>
  <c r="D37" i="1"/>
  <c r="R34" i="5" s="1"/>
  <c r="T34" i="5" s="1"/>
  <c r="D38" i="1"/>
  <c r="R35" i="5" s="1"/>
  <c r="T35" i="5" s="1"/>
  <c r="V35" i="5" s="1"/>
  <c r="D39" i="1"/>
  <c r="R36" i="5" s="1"/>
  <c r="T36" i="5" s="1"/>
  <c r="D40" i="1"/>
  <c r="R37" i="5" s="1"/>
  <c r="T37" i="5" s="1"/>
  <c r="D41" i="1"/>
  <c r="R38" i="5" s="1"/>
  <c r="T38" i="5" s="1"/>
  <c r="D42" i="1"/>
  <c r="R39" i="5" s="1"/>
  <c r="T39" i="5" s="1"/>
  <c r="V39" i="5" s="1"/>
  <c r="D43" i="1"/>
  <c r="R40" i="5" s="1"/>
  <c r="T40" i="5" s="1"/>
  <c r="D44" i="1"/>
  <c r="R41" i="5" s="1"/>
  <c r="T41" i="5" s="1"/>
  <c r="D45" i="1"/>
  <c r="R42" i="5" s="1"/>
  <c r="T42" i="5" s="1"/>
  <c r="D46" i="1"/>
  <c r="R43" i="5" s="1"/>
  <c r="T43" i="5" s="1"/>
  <c r="V43" i="5" s="1"/>
  <c r="D47" i="1"/>
  <c r="R44" i="5" s="1"/>
  <c r="T44" i="5" s="1"/>
  <c r="V44" i="5" s="1"/>
  <c r="D48" i="1"/>
  <c r="R45" i="5" s="1"/>
  <c r="T45" i="5" s="1"/>
  <c r="D49" i="1"/>
  <c r="R46" i="5" s="1"/>
  <c r="T46" i="5" s="1"/>
  <c r="V46" i="5" s="1"/>
  <c r="D50" i="1"/>
  <c r="D51" i="1"/>
  <c r="R47" i="5" s="1"/>
  <c r="T47" i="5" s="1"/>
  <c r="V47" i="5" s="1"/>
  <c r="D52" i="1"/>
  <c r="R48" i="5" s="1"/>
  <c r="T48" i="5" s="1"/>
  <c r="D53" i="1"/>
  <c r="R49" i="5" s="1"/>
  <c r="T49" i="5" s="1"/>
  <c r="D54" i="1"/>
  <c r="R50" i="5" s="1"/>
  <c r="T50" i="5" s="1"/>
  <c r="D55" i="1"/>
  <c r="R51" i="5" s="1"/>
  <c r="T51" i="5" s="1"/>
  <c r="D56" i="1"/>
  <c r="R52" i="5" s="1"/>
  <c r="T52" i="5" s="1"/>
  <c r="D57" i="1"/>
  <c r="R53" i="5" s="1"/>
  <c r="T53" i="5" s="1"/>
  <c r="D58" i="1"/>
  <c r="R54" i="5" s="1"/>
  <c r="T54" i="5" s="1"/>
  <c r="V54" i="5" s="1"/>
  <c r="D59" i="1"/>
  <c r="R55" i="5" s="1"/>
  <c r="T55" i="5" s="1"/>
  <c r="V55" i="5" s="1"/>
  <c r="D60" i="1"/>
  <c r="R56" i="5" s="1"/>
  <c r="T56" i="5" s="1"/>
  <c r="D61" i="1"/>
  <c r="R57" i="5" s="1"/>
  <c r="T57" i="5" s="1"/>
  <c r="D62" i="1"/>
  <c r="R58" i="5" s="1"/>
  <c r="T58" i="5" s="1"/>
  <c r="V58" i="5" s="1"/>
  <c r="D63" i="1"/>
  <c r="R59" i="5" s="1"/>
  <c r="T59" i="5" s="1"/>
  <c r="D64" i="1"/>
  <c r="R60" i="5" s="1"/>
  <c r="T60" i="5" s="1"/>
  <c r="V60" i="5" s="1"/>
  <c r="D65" i="1"/>
  <c r="R61" i="5" s="1"/>
  <c r="T61" i="5" s="1"/>
  <c r="D66" i="1"/>
  <c r="R62" i="5" s="1"/>
  <c r="T62" i="5" s="1"/>
  <c r="D67" i="1"/>
  <c r="R63" i="5" s="1"/>
  <c r="T63" i="5" s="1"/>
  <c r="D68" i="1"/>
  <c r="R64" i="5" s="1"/>
  <c r="T64" i="5" s="1"/>
  <c r="D69" i="1"/>
  <c r="R65" i="5" s="1"/>
  <c r="T65" i="5" s="1"/>
  <c r="V65" i="5" s="1"/>
  <c r="D70" i="1"/>
  <c r="R66" i="5" s="1"/>
  <c r="T66" i="5" s="1"/>
  <c r="D71" i="1"/>
  <c r="R67" i="5" s="1"/>
  <c r="T67" i="5" s="1"/>
  <c r="V67" i="5" s="1"/>
  <c r="D72" i="1"/>
  <c r="R68" i="5" s="1"/>
  <c r="T68" i="5" s="1"/>
  <c r="D73" i="1"/>
  <c r="R69" i="5" s="1"/>
  <c r="T69" i="5" s="1"/>
  <c r="D74" i="1"/>
  <c r="R70" i="5" s="1"/>
  <c r="T70" i="5" s="1"/>
  <c r="D75" i="1"/>
  <c r="R71" i="5" s="1"/>
  <c r="T71" i="5" s="1"/>
  <c r="D76" i="1"/>
  <c r="R72" i="5" s="1"/>
  <c r="T72" i="5" s="1"/>
  <c r="D77" i="1"/>
  <c r="R73" i="5" s="1"/>
  <c r="T73" i="5" s="1"/>
  <c r="D78" i="1"/>
  <c r="R74" i="5" s="1"/>
  <c r="T74" i="5" s="1"/>
  <c r="D79" i="1"/>
  <c r="R75" i="5" s="1"/>
  <c r="T75" i="5" s="1"/>
  <c r="D80" i="1"/>
  <c r="R76" i="5" s="1"/>
  <c r="T76" i="5" s="1"/>
  <c r="D81" i="1"/>
  <c r="R77" i="5" s="1"/>
  <c r="T77" i="5" s="1"/>
  <c r="D82" i="1"/>
  <c r="R78" i="5" s="1"/>
  <c r="T78" i="5" s="1"/>
  <c r="D83" i="1"/>
  <c r="R79" i="5" s="1"/>
  <c r="T79" i="5" s="1"/>
  <c r="D84" i="1"/>
  <c r="R80" i="5" s="1"/>
  <c r="T80" i="5" s="1"/>
  <c r="D85" i="1"/>
  <c r="R81" i="5" s="1"/>
  <c r="T81" i="5" s="1"/>
  <c r="V81" i="5" s="1"/>
  <c r="D86" i="1"/>
  <c r="D87" i="1"/>
  <c r="D88" i="1"/>
  <c r="R82" i="5" s="1"/>
  <c r="T82" i="5" s="1"/>
  <c r="D4" i="1"/>
  <c r="R3" i="5" s="1"/>
  <c r="T3" i="5" s="1"/>
  <c r="V76" i="5" l="1"/>
  <c r="V64" i="5"/>
  <c r="V41" i="5"/>
  <c r="W30" i="5"/>
  <c r="V40" i="5"/>
  <c r="V18" i="5"/>
  <c r="V52" i="5"/>
  <c r="W74" i="5"/>
  <c r="V5" i="5"/>
  <c r="V29" i="5"/>
  <c r="V30" i="5"/>
  <c r="W27" i="5"/>
  <c r="V16" i="5"/>
  <c r="V4" i="5"/>
  <c r="V6" i="5"/>
  <c r="V62" i="5"/>
  <c r="W72" i="5"/>
  <c r="V48" i="5"/>
  <c r="V37" i="5"/>
  <c r="V51" i="5"/>
  <c r="V34" i="5"/>
  <c r="V66" i="5"/>
  <c r="V36" i="5"/>
  <c r="V7" i="5"/>
  <c r="V72" i="5"/>
  <c r="T83" i="5"/>
  <c r="W42" i="5" s="1"/>
  <c r="V82" i="5"/>
  <c r="V20" i="5"/>
  <c r="V59" i="5"/>
  <c r="V13" i="5"/>
  <c r="V38" i="5"/>
  <c r="V70" i="5"/>
  <c r="V69" i="5"/>
  <c r="W69" i="5"/>
  <c r="V57" i="5"/>
  <c r="V15" i="5"/>
  <c r="V63" i="5"/>
  <c r="V28" i="5"/>
  <c r="V24" i="5"/>
  <c r="V80" i="5"/>
  <c r="V68" i="5"/>
  <c r="W56" i="5"/>
  <c r="W45" i="5"/>
  <c r="V33" i="5"/>
  <c r="V19" i="5"/>
  <c r="V49" i="5"/>
  <c r="V25" i="5"/>
  <c r="W44" i="5"/>
  <c r="V32" i="5"/>
  <c r="V23" i="5"/>
  <c r="V71" i="5"/>
  <c r="V56" i="5"/>
  <c r="V17" i="5"/>
  <c r="V14" i="5"/>
  <c r="V42" i="5"/>
  <c r="V74" i="5"/>
  <c r="V53" i="5"/>
  <c r="V78" i="5"/>
  <c r="W31" i="5"/>
  <c r="V21" i="5"/>
  <c r="V27" i="5"/>
  <c r="V75" i="5"/>
  <c r="V77" i="5"/>
  <c r="V45" i="5"/>
  <c r="V22" i="5"/>
  <c r="V50" i="5"/>
  <c r="V3" i="5"/>
  <c r="V61" i="5"/>
  <c r="V83" i="5"/>
  <c r="AI5" i="5" s="1"/>
  <c r="W35" i="5" l="1"/>
  <c r="W62" i="5"/>
  <c r="W51" i="5"/>
  <c r="W58" i="5"/>
  <c r="W36" i="5"/>
  <c r="W63" i="5"/>
  <c r="W41" i="5"/>
  <c r="W43" i="5"/>
  <c r="W55" i="5"/>
  <c r="W81" i="5"/>
  <c r="W70" i="5"/>
  <c r="W82" i="5"/>
  <c r="W38" i="5"/>
  <c r="W5" i="5"/>
  <c r="W6" i="5"/>
  <c r="W68" i="5"/>
  <c r="W12" i="5"/>
  <c r="W20" i="5"/>
  <c r="W47" i="5"/>
  <c r="W15" i="5"/>
  <c r="W49" i="5"/>
  <c r="W75" i="5"/>
  <c r="W52" i="5"/>
  <c r="W54" i="5"/>
  <c r="W67" i="5"/>
  <c r="W11" i="5"/>
  <c r="W17" i="5"/>
  <c r="W18" i="5"/>
  <c r="W80" i="5"/>
  <c r="W24" i="5"/>
  <c r="W59" i="5"/>
  <c r="W26" i="5"/>
  <c r="W61" i="5"/>
  <c r="W64" i="5"/>
  <c r="W37" i="5"/>
  <c r="W28" i="5"/>
  <c r="W29" i="5"/>
  <c r="W34" i="5"/>
  <c r="W71" i="5"/>
  <c r="W73" i="5"/>
  <c r="W66" i="5"/>
  <c r="W22" i="5"/>
  <c r="W46" i="5"/>
  <c r="W48" i="5"/>
  <c r="W39" i="5"/>
  <c r="W7" i="5"/>
  <c r="W76" i="5"/>
  <c r="W23" i="5"/>
  <c r="W78" i="5"/>
  <c r="W8" i="5"/>
  <c r="W53" i="5"/>
  <c r="W33" i="5"/>
  <c r="W13" i="5"/>
  <c r="W14" i="5"/>
  <c r="W77" i="5"/>
  <c r="W4" i="5"/>
  <c r="W3" i="5"/>
  <c r="W40" i="5"/>
  <c r="W79" i="5"/>
  <c r="W10" i="5"/>
  <c r="W9" i="5"/>
  <c r="W65" i="5"/>
  <c r="AI3" i="5"/>
  <c r="X83" i="5"/>
  <c r="AB2" i="5" s="1"/>
  <c r="AC5" i="5" s="1"/>
  <c r="W21" i="5"/>
  <c r="W32" i="5"/>
  <c r="W57" i="5"/>
  <c r="W25" i="5"/>
  <c r="W60" i="5"/>
  <c r="W16" i="5"/>
  <c r="W50" i="5"/>
  <c r="W19" i="5"/>
  <c r="W83" i="5" l="1"/>
  <c r="AI6" i="5" s="1"/>
  <c r="AI8" i="5" s="1"/>
  <c r="AI9" i="5" s="1"/>
</calcChain>
</file>

<file path=xl/sharedStrings.xml><?xml version="1.0" encoding="utf-8"?>
<sst xmlns="http://schemas.openxmlformats.org/spreadsheetml/2006/main" count="377" uniqueCount="155">
  <si>
    <t>Регионы</t>
  </si>
  <si>
    <t>Значение</t>
  </si>
  <si>
    <t>Источник</t>
  </si>
  <si>
    <t>http://crimestat.ru/offenses_table</t>
  </si>
  <si>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</si>
  <si>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</si>
  <si>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</si>
  <si>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</si>
  <si>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</si>
  <si>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</si>
  <si>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</si>
  <si>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</si>
  <si>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</si>
  <si>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</si>
  <si>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АО</t>
  </si>
  <si>
    <t>Забайкальский край</t>
  </si>
  <si>
    <t>Ивановская область</t>
  </si>
  <si>
    <t>Иркутская область</t>
  </si>
  <si>
    <t>Кабардино-Балкарская Респ.</t>
  </si>
  <si>
    <t>Калининградская область</t>
  </si>
  <si>
    <t>Калужская область</t>
  </si>
  <si>
    <t>Камчатский край</t>
  </si>
  <si>
    <t>Карачаево-Черкесская Респ.</t>
  </si>
  <si>
    <t>Кемеровская область-Кузбасс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</si>
  <si>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</si>
  <si>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</si>
  <si>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</si>
  <si>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</si>
  <si>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</si>
  <si>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</si>
  <si>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</si>
  <si>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</si>
  <si>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</si>
  <si>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</si>
  <si>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</si>
  <si>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Ненецкий АО</t>
  </si>
  <si>
    <t>Нижегородская область</t>
  </si>
  <si>
    <t>Новгородская 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</si>
  <si>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</si>
  <si>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</si>
  <si>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</si>
  <si>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</si>
  <si>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</si>
  <si>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</si>
  <si>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</si>
  <si>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</si>
  <si>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</si>
  <si>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</si>
  <si>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</si>
  <si>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</si>
  <si>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</si>
  <si>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</si>
  <si>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</si>
  <si>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</si>
  <si>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</si>
  <si>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</si>
  <si>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</si>
  <si>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</si>
  <si>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</si>
  <si>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Сев. Осетия-Алания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</si>
  <si>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</si>
  <si>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</si>
  <si>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</si>
  <si>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</si>
  <si>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</si>
  <si>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</si>
  <si>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</si>
  <si>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</si>
  <si>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</si>
  <si>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</si>
  <si>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</si>
  <si>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</si>
  <si>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</si>
  <si>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</si>
  <si>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</si>
  <si>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</si>
  <si>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 xml:space="preserve">Удмуртская Республика </t>
  </si>
  <si>
    <t>Ульяновская область</t>
  </si>
  <si>
    <t>Хабаровский край</t>
  </si>
  <si>
    <t>Ханты-Мансийский АО</t>
  </si>
  <si>
    <t>Челябинская область</t>
  </si>
  <si>
    <t>Чеченская Республика</t>
  </si>
  <si>
    <t>Чувашская Республика</t>
  </si>
  <si>
    <t>Чукотский АО</t>
  </si>
  <si>
    <t>Ямало-Ненецкий АО</t>
  </si>
  <si>
    <t>Ярославская область</t>
  </si>
  <si>
    <t>г. Москва</t>
  </si>
  <si>
    <t>г. Санкт-Петербург</t>
  </si>
  <si>
    <t>г. Севастополь</t>
  </si>
  <si>
    <t>Номер</t>
  </si>
  <si>
    <t>X</t>
  </si>
  <si>
    <t>Y</t>
  </si>
  <si>
    <t>X*Y</t>
  </si>
  <si>
    <t>x^2</t>
  </si>
  <si>
    <t>Y^2</t>
  </si>
  <si>
    <t>Среднее:</t>
  </si>
  <si>
    <t>Sx =</t>
  </si>
  <si>
    <t>Sy =</t>
  </si>
  <si>
    <t>Коэф. корреляции по формуле:</t>
  </si>
  <si>
    <t>Коэф. корелляции  с пом. "КОРРЕЛ":</t>
  </si>
  <si>
    <t>Удалили выбросы по X и по Y.</t>
  </si>
  <si>
    <t>Значение коэффициента корреляции, расчитанное двумя способами примерно совпадает. Между показателями присутсвует средняя прямая зависомость, так как значение 0,72 соответсвует средней корреляции и по графику мы можем отметить, что корреляция положительная линейная.</t>
  </si>
  <si>
    <t xml:space="preserve">Xср = </t>
  </si>
  <si>
    <t xml:space="preserve">Yср = </t>
  </si>
  <si>
    <t>X*Yср =</t>
  </si>
  <si>
    <t xml:space="preserve"> S^2(x) =</t>
  </si>
  <si>
    <t xml:space="preserve">b1 = </t>
  </si>
  <si>
    <t xml:space="preserve">b0 = </t>
  </si>
  <si>
    <t>(Х-Хср)^2</t>
  </si>
  <si>
    <t>Уравнение регрессии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</si>
  <si>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</si>
  <si>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</si>
  <si>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</si>
  <si>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</si>
  <si>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</si>
  <si>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</si>
  <si>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</si>
  <si>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</si>
  <si>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</si>
  <si>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</si>
  <si>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</si>
  <si>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</si>
  <si>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</si>
  <si>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</si>
  <si>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</si>
  <si>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</si>
  <si>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</si>
  <si>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</si>
  <si>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</si>
  <si>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</si>
  <si>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</si>
  <si>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</si>
  <si>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</si>
  <si>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</si>
  <si>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Переменная X 1</t>
  </si>
  <si>
    <t>ВЫВОД ОСТАТКА</t>
  </si>
  <si>
    <t>Наблюдение</t>
  </si>
  <si>
    <t>Предсказанное Y</t>
  </si>
  <si>
    <t>Остатки</t>
  </si>
  <si>
    <t>Коэффициент b1 = 0,45, он характеризует, как значение параметра Y будет изменяться при изменении параметра X, в данном случае количесвто преступлений будет увеличиваться на 2 при увеличении количества безработных граждан на 4. Коэффициент b2 = 3030,62, и так как в нашей выборке нет значения X = 0, b2 не имеет никакой интерпретации. Средняя квадратическая ошибка получилась довольно большой, это показывает, что модель далеко не лучшая. Результаты выполнения "вручную" и  с помощью "Анализа данных" совпадают, значит мы сделали всё правильно.</t>
  </si>
  <si>
    <t>Зарегистрировано преступлений в 2021 г.(Y)</t>
  </si>
  <si>
    <t>Количество безработных в 2021 г. (X)</t>
  </si>
  <si>
    <t>Зарегистрировано преступлений в 2021 г.</t>
  </si>
  <si>
    <t>Количество безработных в 2021 г.</t>
  </si>
  <si>
    <t>Y точное</t>
  </si>
  <si>
    <t>Y-Yx</t>
  </si>
  <si>
    <t>|Y-Yx|</t>
  </si>
  <si>
    <t>(Y-Yx)^2</t>
  </si>
  <si>
    <t>Зависимость количества совершённых преступлений от количества безработных по регионам РФ за 2021 г.</t>
  </si>
  <si>
    <t>ln(X)</t>
  </si>
  <si>
    <t>ln(Y)</t>
  </si>
  <si>
    <t>*</t>
  </si>
  <si>
    <t>(ln(Х)-ln(Х)ср)^2</t>
  </si>
  <si>
    <t>Среднее</t>
  </si>
  <si>
    <t>Y предсказанное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</si>
</sst>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name val="Calibri"/>
      <family val="2"/>
    </font>
    <font>
      <u/>
      <sz val="11"/>
      <color theme="10"/>
      <name val="Calibri"/>
      <scheme val="minor"/>
    </font>
    <font>
      <sz val="9"/>
      <name val="Arial Cyr"/>
      <charset val="204"/>
    </font>
    <font>
      <sz val="9"/>
      <name val="Arial"/>
      <family val="2"/>
    </font>
    <font>
      <sz val="48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8" fillId="0" borderId="0" applyNumberFormat="0" applyFill="0" applyBorder="0" applyAlignment="0" applyProtection="0"/>
  </cellStyleXfs>
  <cellXfs count="114">
    <xf numFmtId="0" fontId="0" fillId="0" borderId="0" xfId="0"/>
    <xf numFmtId="2" fontId="6" fillId="0" borderId="0" xfId="0" applyNumberFormat="1" applyFont="1" applyAlignment="1">
      <alignment horizontal="right"/>
    </xf>
    <xf numFmtId="2" fontId="6" fillId="0" borderId="0" xfId="0" applyNumberFormat="1" applyFont="1"/>
    <xf numFmtId="0" fontId="0" fillId="0" borderId="5" xfId="0" applyBorder="1"/>
    <xf numFmtId="0" fontId="0" fillId="0" borderId="0" xfId="0" applyAlignment="1">
      <alignment horizontal="center"/>
    </xf>
    <xf numFmtId="0" fontId="6" fillId="0" borderId="0" xfId="0" applyFont="1" applyBorder="1"/>
    <xf numFmtId="0" fontId="0" fillId="0" borderId="0" xfId="0" applyBorder="1"/>
    <xf numFmtId="0" fontId="0" fillId="0" borderId="0" xfId="0"/>
    <xf numFmtId="0" fontId="0" fillId="0" borderId="0" xfId="0"/>
    <xf numFmtId="0" fontId="6" fillId="0" borderId="9" xfId="0" applyFont="1" applyBorder="1"/>
    <xf numFmtId="164" fontId="9" fillId="0" borderId="11" xfId="0" applyNumberFormat="1" applyFont="1" applyBorder="1" applyAlignment="1">
      <alignment horizontal="right" indent="1"/>
    </xf>
    <xf numFmtId="164" fontId="10" fillId="0" borderId="11" xfId="0" applyNumberFormat="1" applyFont="1" applyBorder="1" applyAlignment="1">
      <alignment horizontal="right" wrapText="1" indent="1"/>
    </xf>
    <xf numFmtId="164" fontId="9" fillId="0" borderId="12" xfId="0" applyNumberFormat="1" applyFont="1" applyBorder="1" applyAlignment="1">
      <alignment horizontal="right" inden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3" xfId="0" applyFont="1" applyBorder="1"/>
    <xf numFmtId="0" fontId="6" fillId="0" borderId="14" xfId="0" applyFont="1" applyBorder="1"/>
    <xf numFmtId="0" fontId="0" fillId="0" borderId="4" xfId="0" applyBorder="1"/>
    <xf numFmtId="0" fontId="6" fillId="0" borderId="23" xfId="0" applyFont="1" applyBorder="1"/>
    <xf numFmtId="0" fontId="6" fillId="0" borderId="15" xfId="0" applyFont="1" applyBorder="1"/>
    <xf numFmtId="0" fontId="6" fillId="0" borderId="16" xfId="0" applyFont="1" applyBorder="1"/>
    <xf numFmtId="0" fontId="0" fillId="0" borderId="7" xfId="0" applyBorder="1"/>
    <xf numFmtId="0" fontId="6" fillId="0" borderId="2" xfId="0" applyFont="1" applyBorder="1"/>
    <xf numFmtId="0" fontId="0" fillId="0" borderId="1" xfId="0" applyBorder="1"/>
    <xf numFmtId="0" fontId="0" fillId="0" borderId="0" xfId="0"/>
    <xf numFmtId="0" fontId="0" fillId="2" borderId="5" xfId="0" applyFill="1" applyBorder="1"/>
    <xf numFmtId="0" fontId="6" fillId="4" borderId="9" xfId="0" applyFont="1" applyFill="1" applyBorder="1"/>
    <xf numFmtId="0" fontId="6" fillId="4" borderId="23" xfId="0" applyFont="1" applyFill="1" applyBorder="1"/>
    <xf numFmtId="0" fontId="0" fillId="3" borderId="0" xfId="0" applyFill="1"/>
    <xf numFmtId="0" fontId="0" fillId="3" borderId="0" xfId="0" applyFill="1" applyBorder="1" applyAlignment="1">
      <alignment horizontal="center"/>
    </xf>
    <xf numFmtId="0" fontId="6" fillId="3" borderId="0" xfId="0" applyFont="1" applyFill="1" applyBorder="1"/>
    <xf numFmtId="0" fontId="0" fillId="3" borderId="0" xfId="0" applyFill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2" xfId="0" applyBorder="1"/>
    <xf numFmtId="0" fontId="0" fillId="0" borderId="28" xfId="0" applyBorder="1"/>
    <xf numFmtId="0" fontId="0" fillId="0" borderId="29" xfId="0" applyBorder="1"/>
    <xf numFmtId="0" fontId="0" fillId="0" borderId="29" xfId="0" applyFill="1" applyBorder="1"/>
    <xf numFmtId="0" fontId="0" fillId="0" borderId="24" xfId="0" applyFill="1" applyBorder="1"/>
    <xf numFmtId="0" fontId="0" fillId="0" borderId="0" xfId="0" applyAlignment="1">
      <alignment horizontal="right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" fontId="0" fillId="0" borderId="0" xfId="0" applyNumberFormat="1" applyAlignment="1">
      <alignment horizontal="left"/>
    </xf>
    <xf numFmtId="2" fontId="0" fillId="0" borderId="4" xfId="0" applyNumberFormat="1" applyBorder="1"/>
    <xf numFmtId="2" fontId="0" fillId="0" borderId="7" xfId="0" applyNumberFormat="1" applyBorder="1"/>
    <xf numFmtId="0" fontId="0" fillId="0" borderId="0" xfId="0" applyAlignment="1">
      <alignment vertical="top"/>
    </xf>
    <xf numFmtId="0" fontId="12" fillId="0" borderId="2" xfId="0" applyFont="1" applyFill="1" applyBorder="1" applyAlignment="1">
      <alignment horizontal="right"/>
    </xf>
    <xf numFmtId="2" fontId="12" fillId="0" borderId="4" xfId="0" applyNumberFormat="1" applyFont="1" applyFill="1" applyBorder="1" applyAlignment="1">
      <alignment horizontal="left"/>
    </xf>
    <xf numFmtId="0" fontId="12" fillId="0" borderId="26" xfId="0" applyFont="1" applyFill="1" applyBorder="1" applyAlignment="1">
      <alignment horizontal="right"/>
    </xf>
    <xf numFmtId="2" fontId="12" fillId="0" borderId="5" xfId="0" applyNumberFormat="1" applyFont="1" applyFill="1" applyBorder="1" applyAlignment="1">
      <alignment horizontal="left"/>
    </xf>
    <xf numFmtId="0" fontId="12" fillId="0" borderId="26" xfId="0" applyFont="1" applyBorder="1" applyAlignment="1">
      <alignment horizontal="right"/>
    </xf>
    <xf numFmtId="0" fontId="12" fillId="0" borderId="5" xfId="0" applyFont="1" applyBorder="1" applyAlignment="1">
      <alignment horizontal="left"/>
    </xf>
    <xf numFmtId="2" fontId="12" fillId="0" borderId="5" xfId="0" applyNumberFormat="1" applyFont="1" applyBorder="1" applyAlignment="1">
      <alignment horizontal="left"/>
    </xf>
    <xf numFmtId="0" fontId="12" fillId="0" borderId="5" xfId="0" applyFont="1" applyBorder="1"/>
    <xf numFmtId="0" fontId="12" fillId="0" borderId="1" xfId="0" applyFont="1" applyBorder="1" applyAlignment="1">
      <alignment horizontal="right"/>
    </xf>
    <xf numFmtId="2" fontId="12" fillId="0" borderId="7" xfId="0" applyNumberFormat="1" applyFont="1" applyBorder="1" applyAlignment="1">
      <alignment horizontal="left"/>
    </xf>
    <xf numFmtId="0" fontId="2" fillId="0" borderId="29" xfId="0" applyFont="1" applyBorder="1" applyAlignment="1">
      <alignment horizontal="center" vertical="center"/>
    </xf>
    <xf numFmtId="0" fontId="0" fillId="0" borderId="0" xfId="0"/>
    <xf numFmtId="0" fontId="0" fillId="0" borderId="0" xfId="0" applyFill="1" applyBorder="1" applyAlignment="1"/>
    <xf numFmtId="0" fontId="0" fillId="0" borderId="37" xfId="0" applyFill="1" applyBorder="1" applyAlignment="1"/>
    <xf numFmtId="0" fontId="13" fillId="0" borderId="44" xfId="0" applyFont="1" applyFill="1" applyBorder="1" applyAlignment="1">
      <alignment horizontal="center"/>
    </xf>
    <xf numFmtId="0" fontId="13" fillId="0" borderId="44" xfId="0" applyFont="1" applyFill="1" applyBorder="1" applyAlignment="1">
      <alignment horizontal="centerContinuous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/>
    <xf numFmtId="0" fontId="6" fillId="0" borderId="0" xfId="0" applyFont="1" applyBorder="1" applyAlignment="1">
      <alignment horizontal="center" vertical="center"/>
    </xf>
    <xf numFmtId="0" fontId="7" fillId="0" borderId="0" xfId="0" applyFont="1" applyBorder="1"/>
    <xf numFmtId="1" fontId="6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3" fillId="0" borderId="33" xfId="0" applyFont="1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0" fillId="0" borderId="35" xfId="0" applyBorder="1" applyAlignment="1">
      <alignment horizontal="left" vertical="top" wrapText="1"/>
    </xf>
    <xf numFmtId="0" fontId="0" fillId="0" borderId="39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0" fillId="0" borderId="36" xfId="0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0" fillId="0" borderId="38" xfId="0" applyBorder="1" applyAlignment="1">
      <alignment horizontal="left" vertical="top" wrapText="1"/>
    </xf>
    <xf numFmtId="0" fontId="3" fillId="0" borderId="42" xfId="0" applyFont="1" applyBorder="1" applyAlignment="1">
      <alignment horizontal="center" vertical="top"/>
    </xf>
    <xf numFmtId="0" fontId="3" fillId="0" borderId="43" xfId="0" applyFont="1" applyBorder="1" applyAlignment="1">
      <alignment horizontal="center" vertical="top"/>
    </xf>
    <xf numFmtId="0" fontId="4" fillId="0" borderId="18" xfId="0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4" xfId="0" applyBorder="1" applyAlignment="1">
      <alignment horizontal="center"/>
    </xf>
    <xf numFmtId="0" fontId="0" fillId="0" borderId="0" xfId="0" applyAlignment="1">
      <alignment horizontal="left" vertical="top" wrapText="1"/>
    </xf>
    <xf numFmtId="0" fontId="1" fillId="0" borderId="4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0" borderId="3" xfId="2" applyBorder="1" applyAlignment="1">
      <alignment horizontal="center"/>
    </xf>
    <xf numFmtId="0" fontId="8" fillId="0" borderId="4" xfId="2" applyBorder="1" applyAlignment="1">
      <alignment horizontal="center"/>
    </xf>
    <xf numFmtId="0" fontId="6" fillId="0" borderId="4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32" xfId="0" applyFont="1" applyFill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EE68504D-052C-47FF-AB8D-7C0BE83C5C9D}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1" defaultTableStyle="TableStyleMedium2" defaultPivotStyle="PivotStyleLight16">
    <tableStyle name="Иванов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Y точное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'Анализ данных'!$D$25:$D$104</c:f>
              <c:numCache>
                <c:formatCode>General</c:formatCode>
                <c:ptCount val="80"/>
                <c:pt idx="0">
                  <c:v>58782</c:v>
                </c:pt>
                <c:pt idx="1">
                  <c:v>20354</c:v>
                </c:pt>
                <c:pt idx="2">
                  <c:v>33252</c:v>
                </c:pt>
                <c:pt idx="3">
                  <c:v>38582</c:v>
                </c:pt>
                <c:pt idx="4">
                  <c:v>34974</c:v>
                </c:pt>
                <c:pt idx="5">
                  <c:v>20080</c:v>
                </c:pt>
                <c:pt idx="6">
                  <c:v>27999</c:v>
                </c:pt>
                <c:pt idx="7">
                  <c:v>64147.999999999993</c:v>
                </c:pt>
                <c:pt idx="8">
                  <c:v>25905</c:v>
                </c:pt>
                <c:pt idx="9">
                  <c:v>45599</c:v>
                </c:pt>
                <c:pt idx="10">
                  <c:v>4189</c:v>
                </c:pt>
                <c:pt idx="11">
                  <c:v>47321</c:v>
                </c:pt>
                <c:pt idx="12">
                  <c:v>22510</c:v>
                </c:pt>
                <c:pt idx="13">
                  <c:v>68776</c:v>
                </c:pt>
                <c:pt idx="14">
                  <c:v>54876</c:v>
                </c:pt>
                <c:pt idx="15">
                  <c:v>27105</c:v>
                </c:pt>
                <c:pt idx="16">
                  <c:v>22592</c:v>
                </c:pt>
                <c:pt idx="17">
                  <c:v>5840</c:v>
                </c:pt>
                <c:pt idx="18">
                  <c:v>26425</c:v>
                </c:pt>
                <c:pt idx="19">
                  <c:v>68552</c:v>
                </c:pt>
                <c:pt idx="20">
                  <c:v>29046</c:v>
                </c:pt>
                <c:pt idx="21">
                  <c:v>12404</c:v>
                </c:pt>
                <c:pt idx="22">
                  <c:v>51356</c:v>
                </c:pt>
                <c:pt idx="23">
                  <c:v>26605</c:v>
                </c:pt>
                <c:pt idx="24">
                  <c:v>22315</c:v>
                </c:pt>
                <c:pt idx="25">
                  <c:v>39681</c:v>
                </c:pt>
                <c:pt idx="26">
                  <c:v>26114</c:v>
                </c:pt>
                <c:pt idx="27">
                  <c:v>4281</c:v>
                </c:pt>
                <c:pt idx="28">
                  <c:v>22113</c:v>
                </c:pt>
                <c:pt idx="29">
                  <c:v>1530</c:v>
                </c:pt>
                <c:pt idx="30">
                  <c:v>72297</c:v>
                </c:pt>
                <c:pt idx="31">
                  <c:v>12191</c:v>
                </c:pt>
                <c:pt idx="32">
                  <c:v>87071</c:v>
                </c:pt>
                <c:pt idx="33">
                  <c:v>64125</c:v>
                </c:pt>
                <c:pt idx="34">
                  <c:v>43157</c:v>
                </c:pt>
                <c:pt idx="35">
                  <c:v>16337</c:v>
                </c:pt>
                <c:pt idx="36">
                  <c:v>27941</c:v>
                </c:pt>
                <c:pt idx="37">
                  <c:v>56349</c:v>
                </c:pt>
                <c:pt idx="38">
                  <c:v>40813</c:v>
                </c:pt>
                <c:pt idx="39">
                  <c:v>14674</c:v>
                </c:pt>
                <c:pt idx="40">
                  <c:v>17811</c:v>
                </c:pt>
                <c:pt idx="41">
                  <c:v>11285</c:v>
                </c:pt>
                <c:pt idx="42">
                  <c:v>85287</c:v>
                </c:pt>
                <c:pt idx="43">
                  <c:v>41180</c:v>
                </c:pt>
                <c:pt idx="44">
                  <c:v>83696</c:v>
                </c:pt>
                <c:pt idx="45">
                  <c:v>12011</c:v>
                </c:pt>
                <c:pt idx="46">
                  <c:v>17652</c:v>
                </c:pt>
                <c:pt idx="47">
                  <c:v>26879</c:v>
                </c:pt>
                <c:pt idx="48">
                  <c:v>54241</c:v>
                </c:pt>
                <c:pt idx="49">
                  <c:v>17920</c:v>
                </c:pt>
                <c:pt idx="50">
                  <c:v>17734</c:v>
                </c:pt>
                <c:pt idx="51">
                  <c:v>34931</c:v>
                </c:pt>
                <c:pt idx="52">
                  <c:v>42723</c:v>
                </c:pt>
                <c:pt idx="53">
                  <c:v>55909</c:v>
                </c:pt>
                <c:pt idx="54">
                  <c:v>19945</c:v>
                </c:pt>
                <c:pt idx="55">
                  <c:v>16327.000000000002</c:v>
                </c:pt>
                <c:pt idx="56">
                  <c:v>86767</c:v>
                </c:pt>
                <c:pt idx="57">
                  <c:v>20954</c:v>
                </c:pt>
                <c:pt idx="58">
                  <c:v>58966</c:v>
                </c:pt>
                <c:pt idx="59">
                  <c:v>53950</c:v>
                </c:pt>
                <c:pt idx="60">
                  <c:v>14360</c:v>
                </c:pt>
                <c:pt idx="61">
                  <c:v>86397</c:v>
                </c:pt>
                <c:pt idx="62">
                  <c:v>23774</c:v>
                </c:pt>
                <c:pt idx="63">
                  <c:v>75061</c:v>
                </c:pt>
                <c:pt idx="64">
                  <c:v>20197</c:v>
                </c:pt>
                <c:pt idx="65">
                  <c:v>25164</c:v>
                </c:pt>
                <c:pt idx="66">
                  <c:v>36978</c:v>
                </c:pt>
                <c:pt idx="67">
                  <c:v>31332</c:v>
                </c:pt>
                <c:pt idx="68">
                  <c:v>32293.999999999996</c:v>
                </c:pt>
                <c:pt idx="69">
                  <c:v>33592</c:v>
                </c:pt>
                <c:pt idx="70">
                  <c:v>26004</c:v>
                </c:pt>
                <c:pt idx="71">
                  <c:v>21545</c:v>
                </c:pt>
                <c:pt idx="72">
                  <c:v>24430</c:v>
                </c:pt>
                <c:pt idx="73">
                  <c:v>91697</c:v>
                </c:pt>
                <c:pt idx="74">
                  <c:v>95227</c:v>
                </c:pt>
                <c:pt idx="75">
                  <c:v>28295</c:v>
                </c:pt>
                <c:pt idx="76">
                  <c:v>803</c:v>
                </c:pt>
                <c:pt idx="77">
                  <c:v>6291</c:v>
                </c:pt>
                <c:pt idx="78">
                  <c:v>38363</c:v>
                </c:pt>
                <c:pt idx="79">
                  <c:v>73230</c:v>
                </c:pt>
              </c:numCache>
            </c:numRef>
          </c:xVal>
          <c:yVal>
            <c:numRef>
              <c:f>'Анализ данных'!$E$25:$E$104</c:f>
              <c:numCache>
                <c:formatCode>General</c:formatCode>
                <c:ptCount val="80"/>
                <c:pt idx="0">
                  <c:v>39070</c:v>
                </c:pt>
                <c:pt idx="1">
                  <c:v>18231</c:v>
                </c:pt>
                <c:pt idx="2">
                  <c:v>16996</c:v>
                </c:pt>
                <c:pt idx="3">
                  <c:v>13801</c:v>
                </c:pt>
                <c:pt idx="4">
                  <c:v>14067</c:v>
                </c:pt>
                <c:pt idx="5">
                  <c:v>14202</c:v>
                </c:pt>
                <c:pt idx="6">
                  <c:v>16248</c:v>
                </c:pt>
                <c:pt idx="7">
                  <c:v>37910</c:v>
                </c:pt>
                <c:pt idx="8">
                  <c:v>17775</c:v>
                </c:pt>
                <c:pt idx="9">
                  <c:v>29552</c:v>
                </c:pt>
                <c:pt idx="10">
                  <c:v>3323</c:v>
                </c:pt>
                <c:pt idx="11">
                  <c:v>21707</c:v>
                </c:pt>
                <c:pt idx="12">
                  <c:v>12064</c:v>
                </c:pt>
                <c:pt idx="13">
                  <c:v>39363</c:v>
                </c:pt>
                <c:pt idx="14">
                  <c:v>7557</c:v>
                </c:pt>
                <c:pt idx="15">
                  <c:v>13269</c:v>
                </c:pt>
                <c:pt idx="16">
                  <c:v>15961</c:v>
                </c:pt>
                <c:pt idx="17">
                  <c:v>5909</c:v>
                </c:pt>
                <c:pt idx="18">
                  <c:v>4345</c:v>
                </c:pt>
                <c:pt idx="19">
                  <c:v>50465</c:v>
                </c:pt>
                <c:pt idx="20">
                  <c:v>19034</c:v>
                </c:pt>
                <c:pt idx="21">
                  <c:v>8927</c:v>
                </c:pt>
                <c:pt idx="22">
                  <c:v>47027</c:v>
                </c:pt>
                <c:pt idx="23">
                  <c:v>14765</c:v>
                </c:pt>
                <c:pt idx="24">
                  <c:v>13538</c:v>
                </c:pt>
                <c:pt idx="25">
                  <c:v>27092</c:v>
                </c:pt>
                <c:pt idx="26">
                  <c:v>13073</c:v>
                </c:pt>
                <c:pt idx="27">
                  <c:v>2562</c:v>
                </c:pt>
                <c:pt idx="28">
                  <c:v>12096</c:v>
                </c:pt>
                <c:pt idx="29">
                  <c:v>852</c:v>
                </c:pt>
                <c:pt idx="30">
                  <c:v>40530</c:v>
                </c:pt>
                <c:pt idx="31">
                  <c:v>10630</c:v>
                </c:pt>
                <c:pt idx="32">
                  <c:v>46463</c:v>
                </c:pt>
                <c:pt idx="33">
                  <c:v>23825</c:v>
                </c:pt>
                <c:pt idx="34">
                  <c:v>24989</c:v>
                </c:pt>
                <c:pt idx="35">
                  <c:v>8151</c:v>
                </c:pt>
                <c:pt idx="36">
                  <c:v>13470</c:v>
                </c:pt>
                <c:pt idx="37">
                  <c:v>40594</c:v>
                </c:pt>
                <c:pt idx="38">
                  <c:v>35098</c:v>
                </c:pt>
                <c:pt idx="39">
                  <c:v>8377</c:v>
                </c:pt>
                <c:pt idx="40">
                  <c:v>4496</c:v>
                </c:pt>
                <c:pt idx="41">
                  <c:v>4762</c:v>
                </c:pt>
                <c:pt idx="42">
                  <c:v>52437</c:v>
                </c:pt>
                <c:pt idx="43">
                  <c:v>20770</c:v>
                </c:pt>
                <c:pt idx="44">
                  <c:v>2103</c:v>
                </c:pt>
                <c:pt idx="45">
                  <c:v>2940</c:v>
                </c:pt>
                <c:pt idx="46">
                  <c:v>13670</c:v>
                </c:pt>
                <c:pt idx="47">
                  <c:v>15026</c:v>
                </c:pt>
                <c:pt idx="48">
                  <c:v>20727</c:v>
                </c:pt>
                <c:pt idx="49">
                  <c:v>7656</c:v>
                </c:pt>
                <c:pt idx="50">
                  <c:v>8533</c:v>
                </c:pt>
                <c:pt idx="51">
                  <c:v>13005</c:v>
                </c:pt>
                <c:pt idx="52">
                  <c:v>8152</c:v>
                </c:pt>
                <c:pt idx="53">
                  <c:v>51933</c:v>
                </c:pt>
                <c:pt idx="54">
                  <c:v>8483</c:v>
                </c:pt>
                <c:pt idx="55">
                  <c:v>11024</c:v>
                </c:pt>
                <c:pt idx="56">
                  <c:v>58538</c:v>
                </c:pt>
                <c:pt idx="57">
                  <c:v>9151</c:v>
                </c:pt>
                <c:pt idx="58">
                  <c:v>43280</c:v>
                </c:pt>
                <c:pt idx="59">
                  <c:v>29831</c:v>
                </c:pt>
                <c:pt idx="60">
                  <c:v>8876</c:v>
                </c:pt>
                <c:pt idx="61">
                  <c:v>54484</c:v>
                </c:pt>
                <c:pt idx="62">
                  <c:v>14013</c:v>
                </c:pt>
                <c:pt idx="63">
                  <c:v>34008</c:v>
                </c:pt>
                <c:pt idx="64">
                  <c:v>13537</c:v>
                </c:pt>
                <c:pt idx="65">
                  <c:v>20583</c:v>
                </c:pt>
                <c:pt idx="66">
                  <c:v>16813</c:v>
                </c:pt>
                <c:pt idx="67">
                  <c:v>15554</c:v>
                </c:pt>
                <c:pt idx="68">
                  <c:v>24160</c:v>
                </c:pt>
                <c:pt idx="69">
                  <c:v>26524</c:v>
                </c:pt>
                <c:pt idx="70">
                  <c:v>12276</c:v>
                </c:pt>
                <c:pt idx="71">
                  <c:v>21987</c:v>
                </c:pt>
                <c:pt idx="72">
                  <c:v>20788</c:v>
                </c:pt>
                <c:pt idx="73">
                  <c:v>65299</c:v>
                </c:pt>
                <c:pt idx="74">
                  <c:v>3128</c:v>
                </c:pt>
                <c:pt idx="75">
                  <c:v>12567</c:v>
                </c:pt>
                <c:pt idx="76">
                  <c:v>784</c:v>
                </c:pt>
                <c:pt idx="77">
                  <c:v>6961</c:v>
                </c:pt>
                <c:pt idx="78">
                  <c:v>16066</c:v>
                </c:pt>
                <c:pt idx="79">
                  <c:v>6136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6D-40EE-B555-4783F7031E99}"/>
            </c:ext>
          </c:extLst>
        </c:ser>
        <c:ser>
          <c:idx val="1"/>
          <c:order val="1"/>
          <c:tx>
            <c:v>Y предсказанное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'Анализ данных'!$D$25:$D$104</c:f>
              <c:numCache>
                <c:formatCode>General</c:formatCode>
                <c:ptCount val="80"/>
                <c:pt idx="0">
                  <c:v>58782</c:v>
                </c:pt>
                <c:pt idx="1">
                  <c:v>20354</c:v>
                </c:pt>
                <c:pt idx="2">
                  <c:v>33252</c:v>
                </c:pt>
                <c:pt idx="3">
                  <c:v>38582</c:v>
                </c:pt>
                <c:pt idx="4">
                  <c:v>34974</c:v>
                </c:pt>
                <c:pt idx="5">
                  <c:v>20080</c:v>
                </c:pt>
                <c:pt idx="6">
                  <c:v>27999</c:v>
                </c:pt>
                <c:pt idx="7">
                  <c:v>64147.999999999993</c:v>
                </c:pt>
                <c:pt idx="8">
                  <c:v>25905</c:v>
                </c:pt>
                <c:pt idx="9">
                  <c:v>45599</c:v>
                </c:pt>
                <c:pt idx="10">
                  <c:v>4189</c:v>
                </c:pt>
                <c:pt idx="11">
                  <c:v>47321</c:v>
                </c:pt>
                <c:pt idx="12">
                  <c:v>22510</c:v>
                </c:pt>
                <c:pt idx="13">
                  <c:v>68776</c:v>
                </c:pt>
                <c:pt idx="14">
                  <c:v>54876</c:v>
                </c:pt>
                <c:pt idx="15">
                  <c:v>27105</c:v>
                </c:pt>
                <c:pt idx="16">
                  <c:v>22592</c:v>
                </c:pt>
                <c:pt idx="17">
                  <c:v>5840</c:v>
                </c:pt>
                <c:pt idx="18">
                  <c:v>26425</c:v>
                </c:pt>
                <c:pt idx="19">
                  <c:v>68552</c:v>
                </c:pt>
                <c:pt idx="20">
                  <c:v>29046</c:v>
                </c:pt>
                <c:pt idx="21">
                  <c:v>12404</c:v>
                </c:pt>
                <c:pt idx="22">
                  <c:v>51356</c:v>
                </c:pt>
                <c:pt idx="23">
                  <c:v>26605</c:v>
                </c:pt>
                <c:pt idx="24">
                  <c:v>22315</c:v>
                </c:pt>
                <c:pt idx="25">
                  <c:v>39681</c:v>
                </c:pt>
                <c:pt idx="26">
                  <c:v>26114</c:v>
                </c:pt>
                <c:pt idx="27">
                  <c:v>4281</c:v>
                </c:pt>
                <c:pt idx="28">
                  <c:v>22113</c:v>
                </c:pt>
                <c:pt idx="29">
                  <c:v>1530</c:v>
                </c:pt>
                <c:pt idx="30">
                  <c:v>72297</c:v>
                </c:pt>
                <c:pt idx="31">
                  <c:v>12191</c:v>
                </c:pt>
                <c:pt idx="32">
                  <c:v>87071</c:v>
                </c:pt>
                <c:pt idx="33">
                  <c:v>64125</c:v>
                </c:pt>
                <c:pt idx="34">
                  <c:v>43157</c:v>
                </c:pt>
                <c:pt idx="35">
                  <c:v>16337</c:v>
                </c:pt>
                <c:pt idx="36">
                  <c:v>27941</c:v>
                </c:pt>
                <c:pt idx="37">
                  <c:v>56349</c:v>
                </c:pt>
                <c:pt idx="38">
                  <c:v>40813</c:v>
                </c:pt>
                <c:pt idx="39">
                  <c:v>14674</c:v>
                </c:pt>
                <c:pt idx="40">
                  <c:v>17811</c:v>
                </c:pt>
                <c:pt idx="41">
                  <c:v>11285</c:v>
                </c:pt>
                <c:pt idx="42">
                  <c:v>85287</c:v>
                </c:pt>
                <c:pt idx="43">
                  <c:v>41180</c:v>
                </c:pt>
                <c:pt idx="44">
                  <c:v>83696</c:v>
                </c:pt>
                <c:pt idx="45">
                  <c:v>12011</c:v>
                </c:pt>
                <c:pt idx="46">
                  <c:v>17652</c:v>
                </c:pt>
                <c:pt idx="47">
                  <c:v>26879</c:v>
                </c:pt>
                <c:pt idx="48">
                  <c:v>54241</c:v>
                </c:pt>
                <c:pt idx="49">
                  <c:v>17920</c:v>
                </c:pt>
                <c:pt idx="50">
                  <c:v>17734</c:v>
                </c:pt>
                <c:pt idx="51">
                  <c:v>34931</c:v>
                </c:pt>
                <c:pt idx="52">
                  <c:v>42723</c:v>
                </c:pt>
                <c:pt idx="53">
                  <c:v>55909</c:v>
                </c:pt>
                <c:pt idx="54">
                  <c:v>19945</c:v>
                </c:pt>
                <c:pt idx="55">
                  <c:v>16327.000000000002</c:v>
                </c:pt>
                <c:pt idx="56">
                  <c:v>86767</c:v>
                </c:pt>
                <c:pt idx="57">
                  <c:v>20954</c:v>
                </c:pt>
                <c:pt idx="58">
                  <c:v>58966</c:v>
                </c:pt>
                <c:pt idx="59">
                  <c:v>53950</c:v>
                </c:pt>
                <c:pt idx="60">
                  <c:v>14360</c:v>
                </c:pt>
                <c:pt idx="61">
                  <c:v>86397</c:v>
                </c:pt>
                <c:pt idx="62">
                  <c:v>23774</c:v>
                </c:pt>
                <c:pt idx="63">
                  <c:v>75061</c:v>
                </c:pt>
                <c:pt idx="64">
                  <c:v>20197</c:v>
                </c:pt>
                <c:pt idx="65">
                  <c:v>25164</c:v>
                </c:pt>
                <c:pt idx="66">
                  <c:v>36978</c:v>
                </c:pt>
                <c:pt idx="67">
                  <c:v>31332</c:v>
                </c:pt>
                <c:pt idx="68">
                  <c:v>32293.999999999996</c:v>
                </c:pt>
                <c:pt idx="69">
                  <c:v>33592</c:v>
                </c:pt>
                <c:pt idx="70">
                  <c:v>26004</c:v>
                </c:pt>
                <c:pt idx="71">
                  <c:v>21545</c:v>
                </c:pt>
                <c:pt idx="72">
                  <c:v>24430</c:v>
                </c:pt>
                <c:pt idx="73">
                  <c:v>91697</c:v>
                </c:pt>
                <c:pt idx="74">
                  <c:v>95227</c:v>
                </c:pt>
                <c:pt idx="75">
                  <c:v>28295</c:v>
                </c:pt>
                <c:pt idx="76">
                  <c:v>803</c:v>
                </c:pt>
                <c:pt idx="77">
                  <c:v>6291</c:v>
                </c:pt>
                <c:pt idx="78">
                  <c:v>38363</c:v>
                </c:pt>
                <c:pt idx="79">
                  <c:v>73230</c:v>
                </c:pt>
              </c:numCache>
            </c:numRef>
          </c:xVal>
          <c:yVal>
            <c:numRef>
              <c:f>'Анализ данных'!$F$25:$F$104</c:f>
              <c:numCache>
                <c:formatCode>General</c:formatCode>
                <c:ptCount val="80"/>
                <c:pt idx="0">
                  <c:v>29766.741481199282</c:v>
                </c:pt>
                <c:pt idx="1">
                  <c:v>12288.332357709778</c:v>
                </c:pt>
                <c:pt idx="2">
                  <c:v>18154.79745802121</c:v>
                </c:pt>
                <c:pt idx="3">
                  <c:v>20579.069359452431</c:v>
                </c:pt>
                <c:pt idx="4">
                  <c:v>18938.023764637452</c:v>
                </c:pt>
                <c:pt idx="5">
                  <c:v>12163.707498236578</c:v>
                </c:pt>
                <c:pt idx="6">
                  <c:v>15765.547871113475</c:v>
                </c:pt>
                <c:pt idx="7">
                  <c:v>32207.387451758368</c:v>
                </c:pt>
                <c:pt idx="8">
                  <c:v>14813.122850175954</c:v>
                </c:pt>
                <c:pt idx="9">
                  <c:v>23770.648333625584</c:v>
                </c:pt>
                <c:pt idx="10">
                  <c:v>4935.9204840445364</c:v>
                </c:pt>
                <c:pt idx="11">
                  <c:v>24553.874640241826</c:v>
                </c:pt>
                <c:pt idx="12">
                  <c:v>13268.95716436751</c:v>
                </c:pt>
                <c:pt idx="13">
                  <c:v>34312.365005196218</c:v>
                </c:pt>
                <c:pt idx="14">
                  <c:v>27990.154980825857</c:v>
                </c:pt>
                <c:pt idx="15">
                  <c:v>15358.925154438144</c:v>
                </c:pt>
                <c:pt idx="16">
                  <c:v>13306.25365515876</c:v>
                </c:pt>
                <c:pt idx="17">
                  <c:v>5686.8534876585982</c:v>
                </c:pt>
                <c:pt idx="18">
                  <c:v>15049.637182022903</c:v>
                </c:pt>
                <c:pt idx="19">
                  <c:v>34210.481908400609</c:v>
                </c:pt>
                <c:pt idx="20">
                  <c:v>16241.760381582235</c:v>
                </c:pt>
                <c:pt idx="21">
                  <c:v>8672.3920919727734</c:v>
                </c:pt>
                <c:pt idx="22">
                  <c:v>26389.134888323435</c:v>
                </c:pt>
                <c:pt idx="23">
                  <c:v>15131.507527662232</c:v>
                </c:pt>
                <c:pt idx="24">
                  <c:v>13180.264289924904</c:v>
                </c:pt>
                <c:pt idx="25">
                  <c:v>21078.933303105885</c:v>
                </c:pt>
                <c:pt idx="26">
                  <c:v>14908.183418168286</c:v>
                </c:pt>
                <c:pt idx="27">
                  <c:v>4977.765327371304</c:v>
                </c:pt>
                <c:pt idx="28">
                  <c:v>13088.387568707436</c:v>
                </c:pt>
                <c:pt idx="29">
                  <c:v>3726.5135448502356</c:v>
                </c:pt>
                <c:pt idx="30">
                  <c:v>35913.839932952193</c:v>
                </c:pt>
                <c:pt idx="31">
                  <c:v>8575.5121829662348</c:v>
                </c:pt>
                <c:pt idx="32">
                  <c:v>42633.575968926845</c:v>
                </c:pt>
                <c:pt idx="33">
                  <c:v>32196.926240926681</c:v>
                </c:pt>
                <c:pt idx="34">
                  <c:v>22659.940644452028</c:v>
                </c:pt>
                <c:pt idx="35">
                  <c:v>10461.259144192099</c:v>
                </c:pt>
                <c:pt idx="36">
                  <c:v>15739.167426407468</c:v>
                </c:pt>
                <c:pt idx="37">
                  <c:v>28660.127309307696</c:v>
                </c:pt>
                <c:pt idx="38">
                  <c:v>21593.806810126553</c:v>
                </c:pt>
                <c:pt idx="39">
                  <c:v>9704.8681175354141</c:v>
                </c:pt>
                <c:pt idx="40">
                  <c:v>11131.686307927488</c:v>
                </c:pt>
                <c:pt idx="41">
                  <c:v>8163.4314432482824</c:v>
                </c:pt>
                <c:pt idx="42">
                  <c:v>41822.149876590382</c:v>
                </c:pt>
                <c:pt idx="43">
                  <c:v>21760.73134818007</c:v>
                </c:pt>
                <c:pt idx="44">
                  <c:v>41098.506988189431</c:v>
                </c:pt>
                <c:pt idx="45">
                  <c:v>8493.6418373269062</c:v>
                </c:pt>
                <c:pt idx="46">
                  <c:v>11059.367502612748</c:v>
                </c:pt>
                <c:pt idx="47">
                  <c:v>15256.132387135431</c:v>
                </c:pt>
                <c:pt idx="48">
                  <c:v>27701.334594820448</c:v>
                </c:pt>
                <c:pt idx="49">
                  <c:v>11181.263350564637</c:v>
                </c:pt>
                <c:pt idx="50">
                  <c:v>11096.663993403998</c:v>
                </c:pt>
                <c:pt idx="51">
                  <c:v>18918.465848734719</c:v>
                </c:pt>
                <c:pt idx="52">
                  <c:v>22462.542144410538</c:v>
                </c:pt>
                <c:pt idx="53">
                  <c:v>28459.999797744891</c:v>
                </c:pt>
                <c:pt idx="54">
                  <c:v>12102.304739007081</c:v>
                </c:pt>
                <c:pt idx="55">
                  <c:v>10456.71079165658</c:v>
                </c:pt>
                <c:pt idx="56">
                  <c:v>42495.306051847088</c:v>
                </c:pt>
                <c:pt idx="57">
                  <c:v>12561.233509840871</c:v>
                </c:pt>
                <c:pt idx="58">
                  <c:v>29850.431167852821</c:v>
                </c:pt>
                <c:pt idx="59">
                  <c:v>27568.977536036869</c:v>
                </c:pt>
                <c:pt idx="60">
                  <c:v>9562.0498479201415</c:v>
                </c:pt>
                <c:pt idx="61">
                  <c:v>42327.017008032912</c:v>
                </c:pt>
                <c:pt idx="62">
                  <c:v>13843.868924857017</c:v>
                </c:pt>
                <c:pt idx="63">
                  <c:v>37171.004573769431</c:v>
                </c:pt>
                <c:pt idx="64">
                  <c:v>12216.92322290214</c:v>
                </c:pt>
                <c:pt idx="65">
                  <c:v>14476.089927294053</c:v>
                </c:pt>
                <c:pt idx="66">
                  <c:v>19849.513612755305</c:v>
                </c:pt>
                <c:pt idx="67">
                  <c:v>17281.513771201706</c:v>
                </c:pt>
                <c:pt idx="68">
                  <c:v>17719.065285118559</c:v>
                </c:pt>
                <c:pt idx="69">
                  <c:v>18309.441444228829</c:v>
                </c:pt>
                <c:pt idx="70">
                  <c:v>14858.151540277584</c:v>
                </c:pt>
                <c:pt idx="71">
                  <c:v>12830.04114469</c:v>
                </c:pt>
                <c:pt idx="72">
                  <c:v>14142.240851187013</c:v>
                </c:pt>
                <c:pt idx="73">
                  <c:v>44737.643851857589</c:v>
                </c:pt>
                <c:pt idx="74">
                  <c:v>46343.212296895523</c:v>
                </c:pt>
                <c:pt idx="75">
                  <c:v>15900.179106164815</c:v>
                </c:pt>
                <c:pt idx="76">
                  <c:v>3395.8483155180593</c:v>
                </c:pt>
                <c:pt idx="77">
                  <c:v>5891.9841870104719</c:v>
                </c:pt>
                <c:pt idx="78">
                  <c:v>20479.460438924583</c:v>
                </c:pt>
                <c:pt idx="79">
                  <c:v>36338.201224516044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6D-40EE-B555-4783F7031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6055695"/>
        <c:axId val="1950785071"/>
      </c:scatterChart>
      <c:valAx>
        <c:axId val="2056055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безработных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0785071"/>
        <c:crosses val="autoZero"/>
        <c:crossBetween val="midCat"/>
      </c:valAx>
      <c:valAx>
        <c:axId val="195078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преступлений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6055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Y точное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Лист1!$E$25:$E$104</c:f>
              <c:numCache>
                <c:formatCode>General</c:formatCode>
                <c:ptCount val="80"/>
                <c:pt idx="0">
                  <c:v>10.981590964572698</c:v>
                </c:pt>
                <c:pt idx="1">
                  <c:v>9.9210327317518772</c:v>
                </c:pt>
                <c:pt idx="2">
                  <c:v>10.411870194650978</c:v>
                </c:pt>
                <c:pt idx="3">
                  <c:v>10.560541125447834</c:v>
                </c:pt>
                <c:pt idx="4">
                  <c:v>10.462360207273605</c:v>
                </c:pt>
                <c:pt idx="5">
                  <c:v>9.9074795738056647</c:v>
                </c:pt>
                <c:pt idx="6">
                  <c:v>10.239924074233857</c:v>
                </c:pt>
                <c:pt idx="7">
                  <c:v>11.068948192628699</c:v>
                </c:pt>
                <c:pt idx="8">
                  <c:v>10.162191279248889</c:v>
                </c:pt>
                <c:pt idx="9">
                  <c:v>10.727641065437455</c:v>
                </c:pt>
                <c:pt idx="10">
                  <c:v>8.3402173209470352</c:v>
                </c:pt>
                <c:pt idx="11">
                  <c:v>10.764709450582471</c:v>
                </c:pt>
                <c:pt idx="12">
                  <c:v>10.021714933900778</c:v>
                </c:pt>
                <c:pt idx="13">
                  <c:v>11.13861012585428</c:v>
                </c:pt>
                <c:pt idx="14">
                  <c:v>10.912831373446055</c:v>
                </c:pt>
                <c:pt idx="15">
                  <c:v>10.207473491694438</c:v>
                </c:pt>
                <c:pt idx="16">
                  <c:v>10.025351140292969</c:v>
                </c:pt>
                <c:pt idx="17">
                  <c:v>8.6724860758222722</c:v>
                </c:pt>
                <c:pt idx="18">
                  <c:v>10.182065810738438</c:v>
                </c:pt>
                <c:pt idx="19">
                  <c:v>11.135347860348954</c:v>
                </c:pt>
                <c:pt idx="20">
                  <c:v>10.27663605916775</c:v>
                </c:pt>
                <c:pt idx="21">
                  <c:v>9.4257742802203399</c:v>
                </c:pt>
                <c:pt idx="22">
                  <c:v>10.846537053710975</c:v>
                </c:pt>
                <c:pt idx="23">
                  <c:v>10.18885444703047</c:v>
                </c:pt>
                <c:pt idx="24">
                  <c:v>10.013014377063371</c:v>
                </c:pt>
                <c:pt idx="25">
                  <c:v>10.588627762694157</c:v>
                </c:pt>
                <c:pt idx="26">
                  <c:v>10.170226847967983</c:v>
                </c:pt>
                <c:pt idx="27">
                  <c:v>8.3619419061449456</c:v>
                </c:pt>
                <c:pt idx="28">
                  <c:v>10.003920949857399</c:v>
                </c:pt>
                <c:pt idx="29">
                  <c:v>7.3330230143864812</c:v>
                </c:pt>
                <c:pt idx="30">
                  <c:v>11.188537913510032</c:v>
                </c:pt>
                <c:pt idx="31">
                  <c:v>9.4084532535651455</c:v>
                </c:pt>
                <c:pt idx="32">
                  <c:v>11.374479156768768</c:v>
                </c:pt>
                <c:pt idx="33">
                  <c:v>11.06858958247307</c:v>
                </c:pt>
                <c:pt idx="34">
                  <c:v>10.672599908151774</c:v>
                </c:pt>
                <c:pt idx="35">
                  <c:v>9.7011877530265078</c:v>
                </c:pt>
                <c:pt idx="36">
                  <c:v>10.237850423151144</c:v>
                </c:pt>
                <c:pt idx="37">
                  <c:v>10.939319773081531</c:v>
                </c:pt>
                <c:pt idx="38">
                  <c:v>10.616755937092288</c:v>
                </c:pt>
                <c:pt idx="39">
                  <c:v>9.5938324992739403</c:v>
                </c:pt>
                <c:pt idx="40">
                  <c:v>9.7875715229387854</c:v>
                </c:pt>
                <c:pt idx="41">
                  <c:v>9.3312296892516358</c:v>
                </c:pt>
                <c:pt idx="42">
                  <c:v>11.353777318582678</c:v>
                </c:pt>
                <c:pt idx="43">
                  <c:v>10.62570798058178</c:v>
                </c:pt>
                <c:pt idx="44">
                  <c:v>11.334946465610392</c:v>
                </c:pt>
                <c:pt idx="45">
                  <c:v>9.3935781755544898</c:v>
                </c:pt>
                <c:pt idx="46">
                  <c:v>9.7786043703894379</c:v>
                </c:pt>
                <c:pt idx="47">
                  <c:v>10.199100591564108</c:v>
                </c:pt>
                <c:pt idx="48">
                  <c:v>10.901192359022497</c:v>
                </c:pt>
                <c:pt idx="49">
                  <c:v>9.7936726865289216</c:v>
                </c:pt>
                <c:pt idx="50">
                  <c:v>9.7832389799399522</c:v>
                </c:pt>
                <c:pt idx="51">
                  <c:v>10.461129966077028</c:v>
                </c:pt>
                <c:pt idx="52">
                  <c:v>10.662492695887538</c:v>
                </c:pt>
                <c:pt idx="53">
                  <c:v>10.931480647972702</c:v>
                </c:pt>
                <c:pt idx="54">
                  <c:v>9.9007337643395061</c:v>
                </c:pt>
                <c:pt idx="55">
                  <c:v>9.7005754581261652</c:v>
                </c:pt>
                <c:pt idx="56">
                  <c:v>11.370981644028259</c:v>
                </c:pt>
                <c:pt idx="57">
                  <c:v>9.950084837912911</c:v>
                </c:pt>
                <c:pt idx="58">
                  <c:v>10.984716285593358</c:v>
                </c:pt>
                <c:pt idx="59">
                  <c:v>10.895812970686281</c:v>
                </c:pt>
                <c:pt idx="60">
                  <c:v>9.5722018426022153</c:v>
                </c:pt>
                <c:pt idx="61">
                  <c:v>11.366708231967094</c:v>
                </c:pt>
                <c:pt idx="62">
                  <c:v>10.076347825540569</c:v>
                </c:pt>
                <c:pt idx="63">
                  <c:v>11.226056395275458</c:v>
                </c:pt>
                <c:pt idx="64">
                  <c:v>9.913289357508388</c:v>
                </c:pt>
                <c:pt idx="65">
                  <c:v>10.133169680689921</c:v>
                </c:pt>
                <c:pt idx="66">
                  <c:v>10.518078420190298</c:v>
                </c:pt>
                <c:pt idx="67">
                  <c:v>10.352395218487128</c:v>
                </c:pt>
                <c:pt idx="68">
                  <c:v>10.382636733441567</c:v>
                </c:pt>
                <c:pt idx="69">
                  <c:v>10.42204322236403</c:v>
                </c:pt>
                <c:pt idx="70">
                  <c:v>10.16600565132436</c:v>
                </c:pt>
                <c:pt idx="71">
                  <c:v>9.9778990500499383</c:v>
                </c:pt>
                <c:pt idx="72">
                  <c:v>10.103567164251785</c:v>
                </c:pt>
                <c:pt idx="73">
                  <c:v>11.42624494233317</c:v>
                </c:pt>
                <c:pt idx="74">
                  <c:v>11.464018794014144</c:v>
                </c:pt>
                <c:pt idx="75">
                  <c:v>10.250440389576625</c:v>
                </c:pt>
                <c:pt idx="76">
                  <c:v>6.6883547139467616</c:v>
                </c:pt>
                <c:pt idx="77">
                  <c:v>8.7468753195700302</c:v>
                </c:pt>
                <c:pt idx="78">
                  <c:v>10.554848732404476</c:v>
                </c:pt>
                <c:pt idx="79">
                  <c:v>11.201360452055116</c:v>
                </c:pt>
              </c:numCache>
            </c:numRef>
          </c:xVal>
          <c:yVal>
            <c:numRef>
              <c:f>Лист1!$F$25:$F$104</c:f>
              <c:numCache>
                <c:formatCode>General</c:formatCode>
                <c:ptCount val="80"/>
                <c:pt idx="0">
                  <c:v>10.573110188049116</c:v>
                </c:pt>
                <c:pt idx="1">
                  <c:v>9.8108787208034656</c:v>
                </c:pt>
                <c:pt idx="2">
                  <c:v>9.7407333012347017</c:v>
                </c:pt>
                <c:pt idx="3">
                  <c:v>9.5324963322880407</c:v>
                </c:pt>
                <c:pt idx="4">
                  <c:v>9.5515869077576951</c:v>
                </c:pt>
                <c:pt idx="5">
                  <c:v>9.5611380787420384</c:v>
                </c:pt>
                <c:pt idx="6">
                  <c:v>9.6957251032602212</c:v>
                </c:pt>
                <c:pt idx="7">
                  <c:v>10.542970208510381</c:v>
                </c:pt>
                <c:pt idx="8">
                  <c:v>9.7855482546714416</c:v>
                </c:pt>
                <c:pt idx="9">
                  <c:v>10.293906702439021</c:v>
                </c:pt>
                <c:pt idx="10">
                  <c:v>8.1086232683545951</c:v>
                </c:pt>
                <c:pt idx="11">
                  <c:v>9.9853900681557626</c:v>
                </c:pt>
                <c:pt idx="12">
                  <c:v>9.3979810902477379</c:v>
                </c:pt>
                <c:pt idx="13">
                  <c:v>10.580581567773825</c:v>
                </c:pt>
                <c:pt idx="14">
                  <c:v>8.9302295650207206</c:v>
                </c:pt>
                <c:pt idx="15">
                  <c:v>9.4931857665364365</c:v>
                </c:pt>
                <c:pt idx="16">
                  <c:v>9.6779035256825576</c:v>
                </c:pt>
                <c:pt idx="17">
                  <c:v>8.6842318913456751</c:v>
                </c:pt>
                <c:pt idx="18">
                  <c:v>8.3767810376994927</c:v>
                </c:pt>
                <c:pt idx="19">
                  <c:v>10.82903530567296</c:v>
                </c:pt>
                <c:pt idx="20">
                  <c:v>9.8539821326322894</c:v>
                </c:pt>
                <c:pt idx="21">
                  <c:v>9.0968356711793614</c:v>
                </c:pt>
                <c:pt idx="22">
                  <c:v>10.758477183833678</c:v>
                </c:pt>
                <c:pt idx="23">
                  <c:v>9.6000147941780227</c:v>
                </c:pt>
                <c:pt idx="24">
                  <c:v>9.5132558250685531</c:v>
                </c:pt>
                <c:pt idx="25">
                  <c:v>10.206993760334795</c:v>
                </c:pt>
                <c:pt idx="26">
                  <c:v>9.4783043135618605</c:v>
                </c:pt>
                <c:pt idx="27">
                  <c:v>7.8485434824566793</c:v>
                </c:pt>
                <c:pt idx="28">
                  <c:v>9.400630098419315</c:v>
                </c:pt>
                <c:pt idx="29">
                  <c:v>6.7475865268293154</c:v>
                </c:pt>
                <c:pt idx="30">
                  <c:v>10.609797719622355</c:v>
                </c:pt>
                <c:pt idx="31">
                  <c:v>9.2714354713359928</c:v>
                </c:pt>
                <c:pt idx="32">
                  <c:v>10.746411575914298</c:v>
                </c:pt>
                <c:pt idx="33">
                  <c:v>10.078490728522404</c:v>
                </c:pt>
                <c:pt idx="34">
                  <c:v>10.126191007021934</c:v>
                </c:pt>
                <c:pt idx="35">
                  <c:v>9.0058958980944581</c:v>
                </c:pt>
                <c:pt idx="36">
                  <c:v>9.5082202694044096</c:v>
                </c:pt>
                <c:pt idx="37">
                  <c:v>10.611375551417572</c:v>
                </c:pt>
                <c:pt idx="38">
                  <c:v>10.465899427773552</c:v>
                </c:pt>
                <c:pt idx="39">
                  <c:v>9.0332451341538089</c:v>
                </c:pt>
                <c:pt idx="40">
                  <c:v>8.410943391573527</c:v>
                </c:pt>
                <c:pt idx="41">
                  <c:v>8.4684230270468088</c:v>
                </c:pt>
                <c:pt idx="42">
                  <c:v>10.867367728003197</c:v>
                </c:pt>
                <c:pt idx="43">
                  <c:v>9.9412649168701588</c:v>
                </c:pt>
                <c:pt idx="44">
                  <c:v>7.6511201757027001</c:v>
                </c:pt>
                <c:pt idx="45">
                  <c:v>7.9861648603327273</c:v>
                </c:pt>
                <c:pt idx="46">
                  <c:v>9.522958929717996</c:v>
                </c:pt>
                <c:pt idx="47">
                  <c:v>9.6175373129291053</c:v>
                </c:pt>
                <c:pt idx="48">
                  <c:v>9.9391924771569045</c:v>
                </c:pt>
                <c:pt idx="49">
                  <c:v>8.9432449331327906</c:v>
                </c:pt>
                <c:pt idx="50">
                  <c:v>9.0516962785365855</c:v>
                </c:pt>
                <c:pt idx="51">
                  <c:v>9.473089177882752</c:v>
                </c:pt>
                <c:pt idx="52">
                  <c:v>9.0060185749025603</c:v>
                </c:pt>
                <c:pt idx="53">
                  <c:v>10.857709705244838</c:v>
                </c:pt>
                <c:pt idx="54">
                  <c:v>9.045819439807735</c:v>
                </c:pt>
                <c:pt idx="55">
                  <c:v>9.3078299932534403</c:v>
                </c:pt>
                <c:pt idx="56">
                  <c:v>10.977431394988523</c:v>
                </c:pt>
                <c:pt idx="57">
                  <c:v>9.1216184419153787</c:v>
                </c:pt>
                <c:pt idx="58">
                  <c:v>10.675445913520363</c:v>
                </c:pt>
                <c:pt idx="59">
                  <c:v>10.303303400245593</c:v>
                </c:pt>
                <c:pt idx="60">
                  <c:v>9.0911062840524846</c:v>
                </c:pt>
                <c:pt idx="61">
                  <c:v>10.905662359567232</c:v>
                </c:pt>
                <c:pt idx="62">
                  <c:v>9.5477407491702184</c:v>
                </c:pt>
                <c:pt idx="63">
                  <c:v>10.434351070038627</c:v>
                </c:pt>
                <c:pt idx="64">
                  <c:v>9.513181956185786</c:v>
                </c:pt>
                <c:pt idx="65">
                  <c:v>9.9322207713590007</c:v>
                </c:pt>
                <c:pt idx="66">
                  <c:v>9.7299076756789287</c:v>
                </c:pt>
                <c:pt idx="67">
                  <c:v>9.6520731192548883</c:v>
                </c:pt>
                <c:pt idx="68">
                  <c:v>10.092453652048752</c:v>
                </c:pt>
                <c:pt idx="69">
                  <c:v>10.185805262488758</c:v>
                </c:pt>
                <c:pt idx="70">
                  <c:v>9.4154014157396269</c:v>
                </c:pt>
                <c:pt idx="71">
                  <c:v>9.9982066485939605</c:v>
                </c:pt>
                <c:pt idx="72">
                  <c:v>9.9421311761283331</c:v>
                </c:pt>
                <c:pt idx="73">
                  <c:v>11.086732001211582</c:v>
                </c:pt>
                <c:pt idx="74">
                  <c:v>8.0481491016652011</c:v>
                </c:pt>
                <c:pt idx="75">
                  <c:v>9.4388296096151443</c:v>
                </c:pt>
                <c:pt idx="76">
                  <c:v>6.6644090203504076</c:v>
                </c:pt>
                <c:pt idx="77">
                  <c:v>8.8480784211686672</c:v>
                </c:pt>
                <c:pt idx="78">
                  <c:v>9.6844605167337576</c:v>
                </c:pt>
                <c:pt idx="79">
                  <c:v>8.7219283430470913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70-48D0-99E9-BF778978DB10}"/>
            </c:ext>
          </c:extLst>
        </c:ser>
        <c:ser>
          <c:idx val="1"/>
          <c:order val="1"/>
          <c:tx>
            <c:v>Y предсказанное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Лист1!$E$25:$E$104</c:f>
              <c:numCache>
                <c:formatCode>General</c:formatCode>
                <c:ptCount val="80"/>
                <c:pt idx="0">
                  <c:v>10.981590964572698</c:v>
                </c:pt>
                <c:pt idx="1">
                  <c:v>9.9210327317518772</c:v>
                </c:pt>
                <c:pt idx="2">
                  <c:v>10.411870194650978</c:v>
                </c:pt>
                <c:pt idx="3">
                  <c:v>10.560541125447834</c:v>
                </c:pt>
                <c:pt idx="4">
                  <c:v>10.462360207273605</c:v>
                </c:pt>
                <c:pt idx="5">
                  <c:v>9.9074795738056647</c:v>
                </c:pt>
                <c:pt idx="6">
                  <c:v>10.239924074233857</c:v>
                </c:pt>
                <c:pt idx="7">
                  <c:v>11.068948192628699</c:v>
                </c:pt>
                <c:pt idx="8">
                  <c:v>10.162191279248889</c:v>
                </c:pt>
                <c:pt idx="9">
                  <c:v>10.727641065437455</c:v>
                </c:pt>
                <c:pt idx="10">
                  <c:v>8.3402173209470352</c:v>
                </c:pt>
                <c:pt idx="11">
                  <c:v>10.764709450582471</c:v>
                </c:pt>
                <c:pt idx="12">
                  <c:v>10.021714933900778</c:v>
                </c:pt>
                <c:pt idx="13">
                  <c:v>11.13861012585428</c:v>
                </c:pt>
                <c:pt idx="14">
                  <c:v>10.912831373446055</c:v>
                </c:pt>
                <c:pt idx="15">
                  <c:v>10.207473491694438</c:v>
                </c:pt>
                <c:pt idx="16">
                  <c:v>10.025351140292969</c:v>
                </c:pt>
                <c:pt idx="17">
                  <c:v>8.6724860758222722</c:v>
                </c:pt>
                <c:pt idx="18">
                  <c:v>10.182065810738438</c:v>
                </c:pt>
                <c:pt idx="19">
                  <c:v>11.135347860348954</c:v>
                </c:pt>
                <c:pt idx="20">
                  <c:v>10.27663605916775</c:v>
                </c:pt>
                <c:pt idx="21">
                  <c:v>9.4257742802203399</c:v>
                </c:pt>
                <c:pt idx="22">
                  <c:v>10.846537053710975</c:v>
                </c:pt>
                <c:pt idx="23">
                  <c:v>10.18885444703047</c:v>
                </c:pt>
                <c:pt idx="24">
                  <c:v>10.013014377063371</c:v>
                </c:pt>
                <c:pt idx="25">
                  <c:v>10.588627762694157</c:v>
                </c:pt>
                <c:pt idx="26">
                  <c:v>10.170226847967983</c:v>
                </c:pt>
                <c:pt idx="27">
                  <c:v>8.3619419061449456</c:v>
                </c:pt>
                <c:pt idx="28">
                  <c:v>10.003920949857399</c:v>
                </c:pt>
                <c:pt idx="29">
                  <c:v>7.3330230143864812</c:v>
                </c:pt>
                <c:pt idx="30">
                  <c:v>11.188537913510032</c:v>
                </c:pt>
                <c:pt idx="31">
                  <c:v>9.4084532535651455</c:v>
                </c:pt>
                <c:pt idx="32">
                  <c:v>11.374479156768768</c:v>
                </c:pt>
                <c:pt idx="33">
                  <c:v>11.06858958247307</c:v>
                </c:pt>
                <c:pt idx="34">
                  <c:v>10.672599908151774</c:v>
                </c:pt>
                <c:pt idx="35">
                  <c:v>9.7011877530265078</c:v>
                </c:pt>
                <c:pt idx="36">
                  <c:v>10.237850423151144</c:v>
                </c:pt>
                <c:pt idx="37">
                  <c:v>10.939319773081531</c:v>
                </c:pt>
                <c:pt idx="38">
                  <c:v>10.616755937092288</c:v>
                </c:pt>
                <c:pt idx="39">
                  <c:v>9.5938324992739403</c:v>
                </c:pt>
                <c:pt idx="40">
                  <c:v>9.7875715229387854</c:v>
                </c:pt>
                <c:pt idx="41">
                  <c:v>9.3312296892516358</c:v>
                </c:pt>
                <c:pt idx="42">
                  <c:v>11.353777318582678</c:v>
                </c:pt>
                <c:pt idx="43">
                  <c:v>10.62570798058178</c:v>
                </c:pt>
                <c:pt idx="44">
                  <c:v>11.334946465610392</c:v>
                </c:pt>
                <c:pt idx="45">
                  <c:v>9.3935781755544898</c:v>
                </c:pt>
                <c:pt idx="46">
                  <c:v>9.7786043703894379</c:v>
                </c:pt>
                <c:pt idx="47">
                  <c:v>10.199100591564108</c:v>
                </c:pt>
                <c:pt idx="48">
                  <c:v>10.901192359022497</c:v>
                </c:pt>
                <c:pt idx="49">
                  <c:v>9.7936726865289216</c:v>
                </c:pt>
                <c:pt idx="50">
                  <c:v>9.7832389799399522</c:v>
                </c:pt>
                <c:pt idx="51">
                  <c:v>10.461129966077028</c:v>
                </c:pt>
                <c:pt idx="52">
                  <c:v>10.662492695887538</c:v>
                </c:pt>
                <c:pt idx="53">
                  <c:v>10.931480647972702</c:v>
                </c:pt>
                <c:pt idx="54">
                  <c:v>9.9007337643395061</c:v>
                </c:pt>
                <c:pt idx="55">
                  <c:v>9.7005754581261652</c:v>
                </c:pt>
                <c:pt idx="56">
                  <c:v>11.370981644028259</c:v>
                </c:pt>
                <c:pt idx="57">
                  <c:v>9.950084837912911</c:v>
                </c:pt>
                <c:pt idx="58">
                  <c:v>10.984716285593358</c:v>
                </c:pt>
                <c:pt idx="59">
                  <c:v>10.895812970686281</c:v>
                </c:pt>
                <c:pt idx="60">
                  <c:v>9.5722018426022153</c:v>
                </c:pt>
                <c:pt idx="61">
                  <c:v>11.366708231967094</c:v>
                </c:pt>
                <c:pt idx="62">
                  <c:v>10.076347825540569</c:v>
                </c:pt>
                <c:pt idx="63">
                  <c:v>11.226056395275458</c:v>
                </c:pt>
                <c:pt idx="64">
                  <c:v>9.913289357508388</c:v>
                </c:pt>
                <c:pt idx="65">
                  <c:v>10.133169680689921</c:v>
                </c:pt>
                <c:pt idx="66">
                  <c:v>10.518078420190298</c:v>
                </c:pt>
                <c:pt idx="67">
                  <c:v>10.352395218487128</c:v>
                </c:pt>
                <c:pt idx="68">
                  <c:v>10.382636733441567</c:v>
                </c:pt>
                <c:pt idx="69">
                  <c:v>10.42204322236403</c:v>
                </c:pt>
                <c:pt idx="70">
                  <c:v>10.16600565132436</c:v>
                </c:pt>
                <c:pt idx="71">
                  <c:v>9.9778990500499383</c:v>
                </c:pt>
                <c:pt idx="72">
                  <c:v>10.103567164251785</c:v>
                </c:pt>
                <c:pt idx="73">
                  <c:v>11.42624494233317</c:v>
                </c:pt>
                <c:pt idx="74">
                  <c:v>11.464018794014144</c:v>
                </c:pt>
                <c:pt idx="75">
                  <c:v>10.250440389576625</c:v>
                </c:pt>
                <c:pt idx="76">
                  <c:v>6.6883547139467616</c:v>
                </c:pt>
                <c:pt idx="77">
                  <c:v>8.7468753195700302</c:v>
                </c:pt>
                <c:pt idx="78">
                  <c:v>10.554848732404476</c:v>
                </c:pt>
                <c:pt idx="79">
                  <c:v>11.201360452055116</c:v>
                </c:pt>
              </c:numCache>
            </c:numRef>
          </c:xVal>
          <c:yVal>
            <c:numRef>
              <c:f>Лист1!$G$25:$G$104</c:f>
              <c:numCache>
                <c:formatCode>General</c:formatCode>
                <c:ptCount val="80"/>
                <c:pt idx="0">
                  <c:v>10.137317652566001</c:v>
                </c:pt>
                <c:pt idx="1">
                  <c:v>9.3144164521027903</c:v>
                </c:pt>
                <c:pt idx="2">
                  <c:v>9.6952637502070012</c:v>
                </c:pt>
                <c:pt idx="3">
                  <c:v>9.8106194974358161</c:v>
                </c:pt>
                <c:pt idx="4">
                  <c:v>9.734439620718188</c:v>
                </c:pt>
                <c:pt idx="5">
                  <c:v>9.3039003770784703</c:v>
                </c:pt>
                <c:pt idx="6">
                  <c:v>9.5618484746215202</c:v>
                </c:pt>
                <c:pt idx="7">
                  <c:v>10.205099284551657</c:v>
                </c:pt>
                <c:pt idx="8">
                  <c:v>9.5015345679175418</c:v>
                </c:pt>
                <c:pt idx="9">
                  <c:v>9.9402745573461573</c:v>
                </c:pt>
                <c:pt idx="10">
                  <c:v>8.0878408063675309</c:v>
                </c:pt>
                <c:pt idx="11">
                  <c:v>9.969036409068277</c:v>
                </c:pt>
                <c:pt idx="12">
                  <c:v>9.3925371082342757</c:v>
                </c:pt>
                <c:pt idx="13">
                  <c:v>10.259150902561778</c:v>
                </c:pt>
                <c:pt idx="14">
                  <c:v>10.083966173759428</c:v>
                </c:pt>
                <c:pt idx="15">
                  <c:v>9.536669637193242</c:v>
                </c:pt>
                <c:pt idx="16">
                  <c:v>9.395358489005897</c:v>
                </c:pt>
                <c:pt idx="17">
                  <c:v>8.3456525406048936</c:v>
                </c:pt>
                <c:pt idx="18">
                  <c:v>9.5169554805230625</c:v>
                </c:pt>
                <c:pt idx="19">
                  <c:v>10.256619667484358</c:v>
                </c:pt>
                <c:pt idx="20">
                  <c:v>9.5903337906924122</c:v>
                </c:pt>
                <c:pt idx="21">
                  <c:v>8.9301388502771246</c:v>
                </c:pt>
                <c:pt idx="22">
                  <c:v>10.032527531725801</c:v>
                </c:pt>
                <c:pt idx="23">
                  <c:v>9.5222228734689107</c:v>
                </c:pt>
                <c:pt idx="24">
                  <c:v>9.3857862307768833</c:v>
                </c:pt>
                <c:pt idx="25">
                  <c:v>9.8324122918262766</c:v>
                </c:pt>
                <c:pt idx="26">
                  <c:v>9.5077694722732993</c:v>
                </c:pt>
                <c:pt idx="27">
                  <c:v>8.1046972001851323</c:v>
                </c:pt>
                <c:pt idx="28">
                  <c:v>9.3787305199893538</c:v>
                </c:pt>
                <c:pt idx="29">
                  <c:v>7.3063453841275567</c:v>
                </c:pt>
                <c:pt idx="30">
                  <c:v>10.297890535263619</c:v>
                </c:pt>
                <c:pt idx="31">
                  <c:v>8.9166992359431685</c:v>
                </c:pt>
                <c:pt idx="32">
                  <c:v>10.442164812298142</c:v>
                </c:pt>
                <c:pt idx="33">
                  <c:v>10.204821034175175</c:v>
                </c:pt>
                <c:pt idx="34">
                  <c:v>9.8975673933229196</c:v>
                </c:pt>
                <c:pt idx="35">
                  <c:v>9.1438358170086325</c:v>
                </c:pt>
                <c:pt idx="36">
                  <c:v>9.5602395012408063</c:v>
                </c:pt>
                <c:pt idx="37">
                  <c:v>10.104518874388049</c:v>
                </c:pt>
                <c:pt idx="38">
                  <c:v>9.8542373154437861</c:v>
                </c:pt>
                <c:pt idx="39">
                  <c:v>9.0605374516241586</c:v>
                </c:pt>
                <c:pt idx="40">
                  <c:v>9.2108621299082856</c:v>
                </c:pt>
                <c:pt idx="41">
                  <c:v>8.8567804480717882</c:v>
                </c:pt>
                <c:pt idx="42">
                  <c:v>10.426101981453087</c:v>
                </c:pt>
                <c:pt idx="43">
                  <c:v>9.8611833247303373</c:v>
                </c:pt>
                <c:pt idx="44">
                  <c:v>10.411490872852831</c:v>
                </c:pt>
                <c:pt idx="45">
                  <c:v>8.9051574656064325</c:v>
                </c:pt>
                <c:pt idx="46">
                  <c:v>9.2039043973017804</c:v>
                </c:pt>
                <c:pt idx="47">
                  <c:v>9.5301729929210257</c:v>
                </c:pt>
                <c:pt idx="48">
                  <c:v>10.074935308084207</c:v>
                </c:pt>
                <c:pt idx="49">
                  <c:v>9.2155961036658525</c:v>
                </c:pt>
                <c:pt idx="50">
                  <c:v>9.207500452327114</c:v>
                </c:pt>
                <c:pt idx="51">
                  <c:v>9.7334850602554113</c:v>
                </c:pt>
                <c:pt idx="52">
                  <c:v>9.8897250732614808</c:v>
                </c:pt>
                <c:pt idx="53">
                  <c:v>10.098436393235193</c:v>
                </c:pt>
                <c:pt idx="54">
                  <c:v>9.2986662140348884</c:v>
                </c:pt>
                <c:pt idx="55">
                  <c:v>9.1433607292737609</c:v>
                </c:pt>
                <c:pt idx="56">
                  <c:v>10.439451045770539</c:v>
                </c:pt>
                <c:pt idx="57">
                  <c:v>9.3369583666304941</c:v>
                </c:pt>
                <c:pt idx="58">
                  <c:v>10.139742630601287</c:v>
                </c:pt>
                <c:pt idx="59">
                  <c:v>10.070761369320039</c:v>
                </c:pt>
                <c:pt idx="60">
                  <c:v>9.0437539381959269</c:v>
                </c:pt>
                <c:pt idx="61">
                  <c:v>10.43613524866824</c:v>
                </c:pt>
                <c:pt idx="62">
                  <c:v>9.4349274935274856</c:v>
                </c:pt>
                <c:pt idx="63">
                  <c:v>10.327001622923753</c:v>
                </c:pt>
                <c:pt idx="64">
                  <c:v>9.3084082653164266</c:v>
                </c:pt>
                <c:pt idx="65">
                  <c:v>9.4790163246429451</c:v>
                </c:pt>
                <c:pt idx="66">
                  <c:v>9.7776721211862316</c:v>
                </c:pt>
                <c:pt idx="67">
                  <c:v>9.649116327304462</c:v>
                </c:pt>
                <c:pt idx="68">
                  <c:v>9.6725811198917064</c:v>
                </c:pt>
                <c:pt idx="69">
                  <c:v>9.7031571373481782</c:v>
                </c:pt>
                <c:pt idx="70">
                  <c:v>9.5044941898060742</c:v>
                </c:pt>
                <c:pt idx="71">
                  <c:v>9.35853978276511</c:v>
                </c:pt>
                <c:pt idx="72">
                  <c:v>9.4560473394804028</c:v>
                </c:pt>
                <c:pt idx="73">
                  <c:v>10.482330571957153</c:v>
                </c:pt>
                <c:pt idx="74">
                  <c:v>10.51163980452208</c:v>
                </c:pt>
                <c:pt idx="75">
                  <c:v>9.570008223188081</c:v>
                </c:pt>
                <c:pt idx="76">
                  <c:v>6.8061386987092298</c:v>
                </c:pt>
                <c:pt idx="77">
                  <c:v>8.4033721415538807</c:v>
                </c:pt>
                <c:pt idx="78">
                  <c:v>9.8062026941675704</c:v>
                </c:pt>
                <c:pt idx="79">
                  <c:v>10.307839713003411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70-48D0-99E9-BF778978D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991087"/>
        <c:axId val="254964255"/>
      </c:scatterChart>
      <c:valAx>
        <c:axId val="259991087"/>
        <c:scaling>
          <c:orientation val="minMax"/>
          <c:min val="6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Безработные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4964255"/>
        <c:crosses val="autoZero"/>
        <c:crossBetween val="midCat"/>
      </c:valAx>
      <c:valAx>
        <c:axId val="254964255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Преступления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9991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Завсимость  количества</a:t>
            </a:r>
            <a:r>
              <a:rPr lang="ru-RU" baseline="0"/>
              <a:t> преступлений от численности безработных по регионам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'2021 г.'!$U$2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'2021 г.'!$T$3:$T$82</c:f>
              <c:numCache>
                <c:formatCode>General</c:formatCode>
                <c:ptCount val="80"/>
                <c:pt idx="0">
                  <c:v>58782</c:v>
                </c:pt>
                <c:pt idx="1">
                  <c:v>20354</c:v>
                </c:pt>
                <c:pt idx="2">
                  <c:v>33252</c:v>
                </c:pt>
                <c:pt idx="3">
                  <c:v>38582</c:v>
                </c:pt>
                <c:pt idx="4">
                  <c:v>34974</c:v>
                </c:pt>
                <c:pt idx="5">
                  <c:v>20080</c:v>
                </c:pt>
                <c:pt idx="6">
                  <c:v>27999</c:v>
                </c:pt>
                <c:pt idx="7">
                  <c:v>64147.999999999993</c:v>
                </c:pt>
                <c:pt idx="8">
                  <c:v>25905</c:v>
                </c:pt>
                <c:pt idx="9">
                  <c:v>45599</c:v>
                </c:pt>
                <c:pt idx="10">
                  <c:v>4189</c:v>
                </c:pt>
                <c:pt idx="11">
                  <c:v>47321</c:v>
                </c:pt>
                <c:pt idx="12">
                  <c:v>22510</c:v>
                </c:pt>
                <c:pt idx="13">
                  <c:v>68776</c:v>
                </c:pt>
                <c:pt idx="14">
                  <c:v>54876</c:v>
                </c:pt>
                <c:pt idx="15">
                  <c:v>27105</c:v>
                </c:pt>
                <c:pt idx="16">
                  <c:v>22592</c:v>
                </c:pt>
                <c:pt idx="17">
                  <c:v>5840</c:v>
                </c:pt>
                <c:pt idx="18">
                  <c:v>26425</c:v>
                </c:pt>
                <c:pt idx="19">
                  <c:v>68552</c:v>
                </c:pt>
                <c:pt idx="20">
                  <c:v>29046</c:v>
                </c:pt>
                <c:pt idx="21">
                  <c:v>12404</c:v>
                </c:pt>
                <c:pt idx="22">
                  <c:v>51356</c:v>
                </c:pt>
                <c:pt idx="23">
                  <c:v>26605</c:v>
                </c:pt>
                <c:pt idx="24">
                  <c:v>22315</c:v>
                </c:pt>
                <c:pt idx="25">
                  <c:v>39681</c:v>
                </c:pt>
                <c:pt idx="26">
                  <c:v>26114</c:v>
                </c:pt>
                <c:pt idx="27">
                  <c:v>4281</c:v>
                </c:pt>
                <c:pt idx="28">
                  <c:v>22113</c:v>
                </c:pt>
                <c:pt idx="29">
                  <c:v>1530</c:v>
                </c:pt>
                <c:pt idx="30">
                  <c:v>72297</c:v>
                </c:pt>
                <c:pt idx="31">
                  <c:v>12191</c:v>
                </c:pt>
                <c:pt idx="32">
                  <c:v>87071</c:v>
                </c:pt>
                <c:pt idx="33">
                  <c:v>64125</c:v>
                </c:pt>
                <c:pt idx="34">
                  <c:v>43157</c:v>
                </c:pt>
                <c:pt idx="35">
                  <c:v>16337</c:v>
                </c:pt>
                <c:pt idx="36">
                  <c:v>27941</c:v>
                </c:pt>
                <c:pt idx="37">
                  <c:v>56349</c:v>
                </c:pt>
                <c:pt idx="38">
                  <c:v>40813</c:v>
                </c:pt>
                <c:pt idx="39">
                  <c:v>14674</c:v>
                </c:pt>
                <c:pt idx="40">
                  <c:v>17811</c:v>
                </c:pt>
                <c:pt idx="41">
                  <c:v>11285</c:v>
                </c:pt>
                <c:pt idx="42">
                  <c:v>85287</c:v>
                </c:pt>
                <c:pt idx="43">
                  <c:v>41180</c:v>
                </c:pt>
                <c:pt idx="44">
                  <c:v>83696</c:v>
                </c:pt>
                <c:pt idx="45">
                  <c:v>12011</c:v>
                </c:pt>
                <c:pt idx="46">
                  <c:v>17652</c:v>
                </c:pt>
                <c:pt idx="47">
                  <c:v>26879</c:v>
                </c:pt>
                <c:pt idx="48">
                  <c:v>54241</c:v>
                </c:pt>
                <c:pt idx="49">
                  <c:v>17920</c:v>
                </c:pt>
                <c:pt idx="50">
                  <c:v>17734</c:v>
                </c:pt>
                <c:pt idx="51">
                  <c:v>34931</c:v>
                </c:pt>
                <c:pt idx="52">
                  <c:v>42723</c:v>
                </c:pt>
                <c:pt idx="53">
                  <c:v>55909</c:v>
                </c:pt>
                <c:pt idx="54">
                  <c:v>19945</c:v>
                </c:pt>
                <c:pt idx="55">
                  <c:v>16327.000000000002</c:v>
                </c:pt>
                <c:pt idx="56">
                  <c:v>86767</c:v>
                </c:pt>
                <c:pt idx="57">
                  <c:v>20954</c:v>
                </c:pt>
                <c:pt idx="58">
                  <c:v>58966</c:v>
                </c:pt>
                <c:pt idx="59">
                  <c:v>53950</c:v>
                </c:pt>
                <c:pt idx="60">
                  <c:v>14360</c:v>
                </c:pt>
                <c:pt idx="61">
                  <c:v>86397</c:v>
                </c:pt>
                <c:pt idx="62">
                  <c:v>23774</c:v>
                </c:pt>
                <c:pt idx="63">
                  <c:v>75061</c:v>
                </c:pt>
                <c:pt idx="64">
                  <c:v>20197</c:v>
                </c:pt>
                <c:pt idx="65">
                  <c:v>25164</c:v>
                </c:pt>
                <c:pt idx="66">
                  <c:v>36978</c:v>
                </c:pt>
                <c:pt idx="67">
                  <c:v>31332</c:v>
                </c:pt>
                <c:pt idx="68">
                  <c:v>32293.999999999996</c:v>
                </c:pt>
                <c:pt idx="69">
                  <c:v>33592</c:v>
                </c:pt>
                <c:pt idx="70">
                  <c:v>26004</c:v>
                </c:pt>
                <c:pt idx="71">
                  <c:v>21545</c:v>
                </c:pt>
                <c:pt idx="72">
                  <c:v>24430</c:v>
                </c:pt>
                <c:pt idx="73">
                  <c:v>91697</c:v>
                </c:pt>
                <c:pt idx="74">
                  <c:v>95227</c:v>
                </c:pt>
                <c:pt idx="75">
                  <c:v>28295</c:v>
                </c:pt>
                <c:pt idx="76">
                  <c:v>803</c:v>
                </c:pt>
                <c:pt idx="77">
                  <c:v>6291</c:v>
                </c:pt>
                <c:pt idx="78">
                  <c:v>38363</c:v>
                </c:pt>
                <c:pt idx="79">
                  <c:v>73230</c:v>
                </c:pt>
              </c:numCache>
            </c:numRef>
          </c:xVal>
          <c:yVal>
            <c:numRef>
              <c:f>'2021 г.'!$U$3:$U$82</c:f>
              <c:numCache>
                <c:formatCode>General</c:formatCode>
                <c:ptCount val="80"/>
                <c:pt idx="0">
                  <c:v>39070</c:v>
                </c:pt>
                <c:pt idx="1">
                  <c:v>18231</c:v>
                </c:pt>
                <c:pt idx="2">
                  <c:v>16996</c:v>
                </c:pt>
                <c:pt idx="3">
                  <c:v>13801</c:v>
                </c:pt>
                <c:pt idx="4">
                  <c:v>14067</c:v>
                </c:pt>
                <c:pt idx="5">
                  <c:v>14202</c:v>
                </c:pt>
                <c:pt idx="6">
                  <c:v>16248</c:v>
                </c:pt>
                <c:pt idx="7">
                  <c:v>37910</c:v>
                </c:pt>
                <c:pt idx="8">
                  <c:v>17775</c:v>
                </c:pt>
                <c:pt idx="9">
                  <c:v>29552</c:v>
                </c:pt>
                <c:pt idx="10">
                  <c:v>3323</c:v>
                </c:pt>
                <c:pt idx="11">
                  <c:v>21707</c:v>
                </c:pt>
                <c:pt idx="12">
                  <c:v>12064</c:v>
                </c:pt>
                <c:pt idx="13">
                  <c:v>39363</c:v>
                </c:pt>
                <c:pt idx="14">
                  <c:v>7557</c:v>
                </c:pt>
                <c:pt idx="15">
                  <c:v>13269</c:v>
                </c:pt>
                <c:pt idx="16">
                  <c:v>15961</c:v>
                </c:pt>
                <c:pt idx="17">
                  <c:v>5909</c:v>
                </c:pt>
                <c:pt idx="18">
                  <c:v>4345</c:v>
                </c:pt>
                <c:pt idx="19">
                  <c:v>50465</c:v>
                </c:pt>
                <c:pt idx="20">
                  <c:v>19034</c:v>
                </c:pt>
                <c:pt idx="21">
                  <c:v>8927</c:v>
                </c:pt>
                <c:pt idx="22">
                  <c:v>47027</c:v>
                </c:pt>
                <c:pt idx="23">
                  <c:v>14765</c:v>
                </c:pt>
                <c:pt idx="24">
                  <c:v>13538</c:v>
                </c:pt>
                <c:pt idx="25">
                  <c:v>27092</c:v>
                </c:pt>
                <c:pt idx="26">
                  <c:v>13073</c:v>
                </c:pt>
                <c:pt idx="27">
                  <c:v>2562</c:v>
                </c:pt>
                <c:pt idx="28">
                  <c:v>12096</c:v>
                </c:pt>
                <c:pt idx="29">
                  <c:v>852</c:v>
                </c:pt>
                <c:pt idx="30">
                  <c:v>40530</c:v>
                </c:pt>
                <c:pt idx="31">
                  <c:v>10630</c:v>
                </c:pt>
                <c:pt idx="32">
                  <c:v>46463</c:v>
                </c:pt>
                <c:pt idx="33">
                  <c:v>23825</c:v>
                </c:pt>
                <c:pt idx="34">
                  <c:v>24989</c:v>
                </c:pt>
                <c:pt idx="35">
                  <c:v>8151</c:v>
                </c:pt>
                <c:pt idx="36">
                  <c:v>13470</c:v>
                </c:pt>
                <c:pt idx="37">
                  <c:v>40594</c:v>
                </c:pt>
                <c:pt idx="38">
                  <c:v>35098</c:v>
                </c:pt>
                <c:pt idx="39">
                  <c:v>8377</c:v>
                </c:pt>
                <c:pt idx="40">
                  <c:v>4496</c:v>
                </c:pt>
                <c:pt idx="41">
                  <c:v>4762</c:v>
                </c:pt>
                <c:pt idx="42">
                  <c:v>52437</c:v>
                </c:pt>
                <c:pt idx="43">
                  <c:v>20770</c:v>
                </c:pt>
                <c:pt idx="44">
                  <c:v>2103</c:v>
                </c:pt>
                <c:pt idx="45">
                  <c:v>2940</c:v>
                </c:pt>
                <c:pt idx="46">
                  <c:v>13670</c:v>
                </c:pt>
                <c:pt idx="47">
                  <c:v>15026</c:v>
                </c:pt>
                <c:pt idx="48">
                  <c:v>20727</c:v>
                </c:pt>
                <c:pt idx="49">
                  <c:v>7656</c:v>
                </c:pt>
                <c:pt idx="50">
                  <c:v>8533</c:v>
                </c:pt>
                <c:pt idx="51">
                  <c:v>13005</c:v>
                </c:pt>
                <c:pt idx="52">
                  <c:v>8152</c:v>
                </c:pt>
                <c:pt idx="53">
                  <c:v>51933</c:v>
                </c:pt>
                <c:pt idx="54">
                  <c:v>8483</c:v>
                </c:pt>
                <c:pt idx="55">
                  <c:v>11024</c:v>
                </c:pt>
                <c:pt idx="56">
                  <c:v>58538</c:v>
                </c:pt>
                <c:pt idx="57">
                  <c:v>9151</c:v>
                </c:pt>
                <c:pt idx="58">
                  <c:v>43280</c:v>
                </c:pt>
                <c:pt idx="59">
                  <c:v>29831</c:v>
                </c:pt>
                <c:pt idx="60">
                  <c:v>8876</c:v>
                </c:pt>
                <c:pt idx="61">
                  <c:v>54484</c:v>
                </c:pt>
                <c:pt idx="62">
                  <c:v>14013</c:v>
                </c:pt>
                <c:pt idx="63">
                  <c:v>34008</c:v>
                </c:pt>
                <c:pt idx="64">
                  <c:v>13537</c:v>
                </c:pt>
                <c:pt idx="65">
                  <c:v>20583</c:v>
                </c:pt>
                <c:pt idx="66">
                  <c:v>16813</c:v>
                </c:pt>
                <c:pt idx="67">
                  <c:v>15554</c:v>
                </c:pt>
                <c:pt idx="68">
                  <c:v>24160</c:v>
                </c:pt>
                <c:pt idx="69">
                  <c:v>26524</c:v>
                </c:pt>
                <c:pt idx="70">
                  <c:v>12276</c:v>
                </c:pt>
                <c:pt idx="71">
                  <c:v>21987</c:v>
                </c:pt>
                <c:pt idx="72">
                  <c:v>20788</c:v>
                </c:pt>
                <c:pt idx="73">
                  <c:v>65299</c:v>
                </c:pt>
                <c:pt idx="74">
                  <c:v>3128</c:v>
                </c:pt>
                <c:pt idx="75">
                  <c:v>12567</c:v>
                </c:pt>
                <c:pt idx="76">
                  <c:v>784</c:v>
                </c:pt>
                <c:pt idx="77">
                  <c:v>6961</c:v>
                </c:pt>
                <c:pt idx="78">
                  <c:v>16066</c:v>
                </c:pt>
                <c:pt idx="79">
                  <c:v>6136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2D-43E4-8BDC-EEDB69295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18495"/>
        <c:axId val="67684559"/>
      </c:scatterChart>
      <c:valAx>
        <c:axId val="119418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Численность</a:t>
                </a:r>
                <a:r>
                  <a:rPr lang="ru-RU" baseline="0"/>
                  <a:t> безработных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684559"/>
        <c:crosses val="autoZero"/>
        <c:crossBetween val="midCat"/>
      </c:valAx>
      <c:valAx>
        <c:axId val="6768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Преступлений совершено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18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Завсимость  количества</a:t>
            </a:r>
            <a:r>
              <a:rPr lang="ru-RU" baseline="0"/>
              <a:t> преступлений от численности безработных по регионам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'2021 г.'!$U$2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'2021 г.'!$T$3:$T$82</c:f>
              <c:numCache>
                <c:formatCode>General</c:formatCode>
                <c:ptCount val="80"/>
                <c:pt idx="0">
                  <c:v>58782</c:v>
                </c:pt>
                <c:pt idx="1">
                  <c:v>20354</c:v>
                </c:pt>
                <c:pt idx="2">
                  <c:v>33252</c:v>
                </c:pt>
                <c:pt idx="3">
                  <c:v>38582</c:v>
                </c:pt>
                <c:pt idx="4">
                  <c:v>34974</c:v>
                </c:pt>
                <c:pt idx="5">
                  <c:v>20080</c:v>
                </c:pt>
                <c:pt idx="6">
                  <c:v>27999</c:v>
                </c:pt>
                <c:pt idx="7">
                  <c:v>64147.999999999993</c:v>
                </c:pt>
                <c:pt idx="8">
                  <c:v>25905</c:v>
                </c:pt>
                <c:pt idx="9">
                  <c:v>45599</c:v>
                </c:pt>
                <c:pt idx="10">
                  <c:v>4189</c:v>
                </c:pt>
                <c:pt idx="11">
                  <c:v>47321</c:v>
                </c:pt>
                <c:pt idx="12">
                  <c:v>22510</c:v>
                </c:pt>
                <c:pt idx="13">
                  <c:v>68776</c:v>
                </c:pt>
                <c:pt idx="14">
                  <c:v>54876</c:v>
                </c:pt>
                <c:pt idx="15">
                  <c:v>27105</c:v>
                </c:pt>
                <c:pt idx="16">
                  <c:v>22592</c:v>
                </c:pt>
                <c:pt idx="17">
                  <c:v>5840</c:v>
                </c:pt>
                <c:pt idx="18">
                  <c:v>26425</c:v>
                </c:pt>
                <c:pt idx="19">
                  <c:v>68552</c:v>
                </c:pt>
                <c:pt idx="20">
                  <c:v>29046</c:v>
                </c:pt>
                <c:pt idx="21">
                  <c:v>12404</c:v>
                </c:pt>
                <c:pt idx="22">
                  <c:v>51356</c:v>
                </c:pt>
                <c:pt idx="23">
                  <c:v>26605</c:v>
                </c:pt>
                <c:pt idx="24">
                  <c:v>22315</c:v>
                </c:pt>
                <c:pt idx="25">
                  <c:v>39681</c:v>
                </c:pt>
                <c:pt idx="26">
                  <c:v>26114</c:v>
                </c:pt>
                <c:pt idx="27">
                  <c:v>4281</c:v>
                </c:pt>
                <c:pt idx="28">
                  <c:v>22113</c:v>
                </c:pt>
                <c:pt idx="29">
                  <c:v>1530</c:v>
                </c:pt>
                <c:pt idx="30">
                  <c:v>72297</c:v>
                </c:pt>
                <c:pt idx="31">
                  <c:v>12191</c:v>
                </c:pt>
                <c:pt idx="32">
                  <c:v>87071</c:v>
                </c:pt>
                <c:pt idx="33">
                  <c:v>64125</c:v>
                </c:pt>
                <c:pt idx="34">
                  <c:v>43157</c:v>
                </c:pt>
                <c:pt idx="35">
                  <c:v>16337</c:v>
                </c:pt>
                <c:pt idx="36">
                  <c:v>27941</c:v>
                </c:pt>
                <c:pt idx="37">
                  <c:v>56349</c:v>
                </c:pt>
                <c:pt idx="38">
                  <c:v>40813</c:v>
                </c:pt>
                <c:pt idx="39">
                  <c:v>14674</c:v>
                </c:pt>
                <c:pt idx="40">
                  <c:v>17811</c:v>
                </c:pt>
                <c:pt idx="41">
                  <c:v>11285</c:v>
                </c:pt>
                <c:pt idx="42">
                  <c:v>85287</c:v>
                </c:pt>
                <c:pt idx="43">
                  <c:v>41180</c:v>
                </c:pt>
                <c:pt idx="44">
                  <c:v>83696</c:v>
                </c:pt>
                <c:pt idx="45">
                  <c:v>12011</c:v>
                </c:pt>
                <c:pt idx="46">
                  <c:v>17652</c:v>
                </c:pt>
                <c:pt idx="47">
                  <c:v>26879</c:v>
                </c:pt>
                <c:pt idx="48">
                  <c:v>54241</c:v>
                </c:pt>
                <c:pt idx="49">
                  <c:v>17920</c:v>
                </c:pt>
                <c:pt idx="50">
                  <c:v>17734</c:v>
                </c:pt>
                <c:pt idx="51">
                  <c:v>34931</c:v>
                </c:pt>
                <c:pt idx="52">
                  <c:v>42723</c:v>
                </c:pt>
                <c:pt idx="53">
                  <c:v>55909</c:v>
                </c:pt>
                <c:pt idx="54">
                  <c:v>19945</c:v>
                </c:pt>
                <c:pt idx="55">
                  <c:v>16327.000000000002</c:v>
                </c:pt>
                <c:pt idx="56">
                  <c:v>86767</c:v>
                </c:pt>
                <c:pt idx="57">
                  <c:v>20954</c:v>
                </c:pt>
                <c:pt idx="58">
                  <c:v>58966</c:v>
                </c:pt>
                <c:pt idx="59">
                  <c:v>53950</c:v>
                </c:pt>
                <c:pt idx="60">
                  <c:v>14360</c:v>
                </c:pt>
                <c:pt idx="61">
                  <c:v>86397</c:v>
                </c:pt>
                <c:pt idx="62">
                  <c:v>23774</c:v>
                </c:pt>
                <c:pt idx="63">
                  <c:v>75061</c:v>
                </c:pt>
                <c:pt idx="64">
                  <c:v>20197</c:v>
                </c:pt>
                <c:pt idx="65">
                  <c:v>25164</c:v>
                </c:pt>
                <c:pt idx="66">
                  <c:v>36978</c:v>
                </c:pt>
                <c:pt idx="67">
                  <c:v>31332</c:v>
                </c:pt>
                <c:pt idx="68">
                  <c:v>32293.999999999996</c:v>
                </c:pt>
                <c:pt idx="69">
                  <c:v>33592</c:v>
                </c:pt>
                <c:pt idx="70">
                  <c:v>26004</c:v>
                </c:pt>
                <c:pt idx="71">
                  <c:v>21545</c:v>
                </c:pt>
                <c:pt idx="72">
                  <c:v>24430</c:v>
                </c:pt>
                <c:pt idx="73">
                  <c:v>91697</c:v>
                </c:pt>
                <c:pt idx="74">
                  <c:v>95227</c:v>
                </c:pt>
                <c:pt idx="75">
                  <c:v>28295</c:v>
                </c:pt>
                <c:pt idx="76">
                  <c:v>803</c:v>
                </c:pt>
                <c:pt idx="77">
                  <c:v>6291</c:v>
                </c:pt>
                <c:pt idx="78">
                  <c:v>38363</c:v>
                </c:pt>
                <c:pt idx="79">
                  <c:v>73230</c:v>
                </c:pt>
              </c:numCache>
            </c:numRef>
          </c:xVal>
          <c:yVal>
            <c:numRef>
              <c:f>'2021 г.'!$U$3:$U$82</c:f>
              <c:numCache>
                <c:formatCode>General</c:formatCode>
                <c:ptCount val="80"/>
                <c:pt idx="0">
                  <c:v>39070</c:v>
                </c:pt>
                <c:pt idx="1">
                  <c:v>18231</c:v>
                </c:pt>
                <c:pt idx="2">
                  <c:v>16996</c:v>
                </c:pt>
                <c:pt idx="3">
                  <c:v>13801</c:v>
                </c:pt>
                <c:pt idx="4">
                  <c:v>14067</c:v>
                </c:pt>
                <c:pt idx="5">
                  <c:v>14202</c:v>
                </c:pt>
                <c:pt idx="6">
                  <c:v>16248</c:v>
                </c:pt>
                <c:pt idx="7">
                  <c:v>37910</c:v>
                </c:pt>
                <c:pt idx="8">
                  <c:v>17775</c:v>
                </c:pt>
                <c:pt idx="9">
                  <c:v>29552</c:v>
                </c:pt>
                <c:pt idx="10">
                  <c:v>3323</c:v>
                </c:pt>
                <c:pt idx="11">
                  <c:v>21707</c:v>
                </c:pt>
                <c:pt idx="12">
                  <c:v>12064</c:v>
                </c:pt>
                <c:pt idx="13">
                  <c:v>39363</c:v>
                </c:pt>
                <c:pt idx="14">
                  <c:v>7557</c:v>
                </c:pt>
                <c:pt idx="15">
                  <c:v>13269</c:v>
                </c:pt>
                <c:pt idx="16">
                  <c:v>15961</c:v>
                </c:pt>
                <c:pt idx="17">
                  <c:v>5909</c:v>
                </c:pt>
                <c:pt idx="18">
                  <c:v>4345</c:v>
                </c:pt>
                <c:pt idx="19">
                  <c:v>50465</c:v>
                </c:pt>
                <c:pt idx="20">
                  <c:v>19034</c:v>
                </c:pt>
                <c:pt idx="21">
                  <c:v>8927</c:v>
                </c:pt>
                <c:pt idx="22">
                  <c:v>47027</c:v>
                </c:pt>
                <c:pt idx="23">
                  <c:v>14765</c:v>
                </c:pt>
                <c:pt idx="24">
                  <c:v>13538</c:v>
                </c:pt>
                <c:pt idx="25">
                  <c:v>27092</c:v>
                </c:pt>
                <c:pt idx="26">
                  <c:v>13073</c:v>
                </c:pt>
                <c:pt idx="27">
                  <c:v>2562</c:v>
                </c:pt>
                <c:pt idx="28">
                  <c:v>12096</c:v>
                </c:pt>
                <c:pt idx="29">
                  <c:v>852</c:v>
                </c:pt>
                <c:pt idx="30">
                  <c:v>40530</c:v>
                </c:pt>
                <c:pt idx="31">
                  <c:v>10630</c:v>
                </c:pt>
                <c:pt idx="32">
                  <c:v>46463</c:v>
                </c:pt>
                <c:pt idx="33">
                  <c:v>23825</c:v>
                </c:pt>
                <c:pt idx="34">
                  <c:v>24989</c:v>
                </c:pt>
                <c:pt idx="35">
                  <c:v>8151</c:v>
                </c:pt>
                <c:pt idx="36">
                  <c:v>13470</c:v>
                </c:pt>
                <c:pt idx="37">
                  <c:v>40594</c:v>
                </c:pt>
                <c:pt idx="38">
                  <c:v>35098</c:v>
                </c:pt>
                <c:pt idx="39">
                  <c:v>8377</c:v>
                </c:pt>
                <c:pt idx="40">
                  <c:v>4496</c:v>
                </c:pt>
                <c:pt idx="41">
                  <c:v>4762</c:v>
                </c:pt>
                <c:pt idx="42">
                  <c:v>52437</c:v>
                </c:pt>
                <c:pt idx="43">
                  <c:v>20770</c:v>
                </c:pt>
                <c:pt idx="44">
                  <c:v>2103</c:v>
                </c:pt>
                <c:pt idx="45">
                  <c:v>2940</c:v>
                </c:pt>
                <c:pt idx="46">
                  <c:v>13670</c:v>
                </c:pt>
                <c:pt idx="47">
                  <c:v>15026</c:v>
                </c:pt>
                <c:pt idx="48">
                  <c:v>20727</c:v>
                </c:pt>
                <c:pt idx="49">
                  <c:v>7656</c:v>
                </c:pt>
                <c:pt idx="50">
                  <c:v>8533</c:v>
                </c:pt>
                <c:pt idx="51">
                  <c:v>13005</c:v>
                </c:pt>
                <c:pt idx="52">
                  <c:v>8152</c:v>
                </c:pt>
                <c:pt idx="53">
                  <c:v>51933</c:v>
                </c:pt>
                <c:pt idx="54">
                  <c:v>8483</c:v>
                </c:pt>
                <c:pt idx="55">
                  <c:v>11024</c:v>
                </c:pt>
                <c:pt idx="56">
                  <c:v>58538</c:v>
                </c:pt>
                <c:pt idx="57">
                  <c:v>9151</c:v>
                </c:pt>
                <c:pt idx="58">
                  <c:v>43280</c:v>
                </c:pt>
                <c:pt idx="59">
                  <c:v>29831</c:v>
                </c:pt>
                <c:pt idx="60">
                  <c:v>8876</c:v>
                </c:pt>
                <c:pt idx="61">
                  <c:v>54484</c:v>
                </c:pt>
                <c:pt idx="62">
                  <c:v>14013</c:v>
                </c:pt>
                <c:pt idx="63">
                  <c:v>34008</c:v>
                </c:pt>
                <c:pt idx="64">
                  <c:v>13537</c:v>
                </c:pt>
                <c:pt idx="65">
                  <c:v>20583</c:v>
                </c:pt>
                <c:pt idx="66">
                  <c:v>16813</c:v>
                </c:pt>
                <c:pt idx="67">
                  <c:v>15554</c:v>
                </c:pt>
                <c:pt idx="68">
                  <c:v>24160</c:v>
                </c:pt>
                <c:pt idx="69">
                  <c:v>26524</c:v>
                </c:pt>
                <c:pt idx="70">
                  <c:v>12276</c:v>
                </c:pt>
                <c:pt idx="71">
                  <c:v>21987</c:v>
                </c:pt>
                <c:pt idx="72">
                  <c:v>20788</c:v>
                </c:pt>
                <c:pt idx="73">
                  <c:v>65299</c:v>
                </c:pt>
                <c:pt idx="74">
                  <c:v>3128</c:v>
                </c:pt>
                <c:pt idx="75">
                  <c:v>12567</c:v>
                </c:pt>
                <c:pt idx="76">
                  <c:v>784</c:v>
                </c:pt>
                <c:pt idx="77">
                  <c:v>6961</c:v>
                </c:pt>
                <c:pt idx="78">
                  <c:v>16066</c:v>
                </c:pt>
                <c:pt idx="79">
                  <c:v>6136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2D-43E4-8BDC-EEDB69295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18495"/>
        <c:axId val="67684559"/>
      </c:scatterChart>
      <c:valAx>
        <c:axId val="119418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Численность</a:t>
                </a:r>
                <a:r>
                  <a:rPr lang="ru-RU" baseline="0"/>
                  <a:t> безработных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684559"/>
        <c:crosses val="autoZero"/>
        <c:crossBetween val="midCat"/>
      </c:valAx>
      <c:valAx>
        <c:axId val="6768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Преступлений совершено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18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ru-RU" sz="14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Calibri"/>
                <a:cs typeface="Calibri"/>
              </a:rPr>
              <a:t>Ящик с усами по </a:t>
            </a:r>
            <a:r>
              <a:rPr lang="en-US" sz="14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Calibri"/>
                <a:cs typeface="Calibri"/>
              </a:rPr>
              <a:t>Y</a:t>
            </a:r>
          </a:p>
        </cx:rich>
      </cx:tx>
    </cx:title>
    <cx:plotArea>
      <cx:plotAreaRegion>
        <cx:series layoutId="boxWhisker" uniqueId="{C15B624E-493D-4896-86AC-C931CF4F13A0}">
          <cx:tx>
            <cx:txData>
              <cx:f>_xlchart.v1.0</cx:f>
              <cx:v>Зарегистрировано преступлений в 2021 г.(Y) Значение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  <cx:spPr>
    <a:ln>
      <a:solidFill>
        <a:sysClr val="windowText" lastClr="000000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ru-RU" sz="14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Calibri"/>
                <a:cs typeface="Calibri"/>
              </a:rPr>
              <a:t>Ящик с усами по </a:t>
            </a:r>
            <a:r>
              <a:rPr lang="en-US" sz="14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Calibri"/>
                <a:cs typeface="Calibri"/>
              </a:rPr>
              <a:t>X</a:t>
            </a:r>
            <a:endParaRPr lang="ru-RU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endParaRPr>
          </a:p>
        </cx:rich>
      </cx:tx>
    </cx:title>
    <cx:plotArea>
      <cx:plotAreaRegion>
        <cx:series layoutId="boxWhisker" uniqueId="{AFCEA711-534D-4BF2-AF6E-583985612CC4}">
          <cx:tx>
            <cx:txData>
              <cx:f>_xlchart.v1.2</cx:f>
              <cx:v>Количество безработных в 2021 г. (X) Значение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  <cx:spPr>
    <a:ln>
      <a:solidFill>
        <a:sysClr val="windowText" lastClr="000000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</xdr:colOff>
      <xdr:row>22</xdr:row>
      <xdr:rowOff>152400</xdr:rowOff>
    </xdr:from>
    <xdr:to>
      <xdr:col>17</xdr:col>
      <xdr:colOff>308610</xdr:colOff>
      <xdr:row>37</xdr:row>
      <xdr:rowOff>152400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39C3725-F1FC-4B77-90B6-DAB696F1F5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525780</xdr:colOff>
      <xdr:row>22</xdr:row>
      <xdr:rowOff>129540</xdr:rowOff>
    </xdr:from>
    <xdr:to>
      <xdr:col>18</xdr:col>
      <xdr:colOff>220980</xdr:colOff>
      <xdr:row>37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C176282-6F1D-4C4F-B4B8-D6B554ABD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0</xdr:row>
      <xdr:rowOff>261937</xdr:rowOff>
    </xdr:from>
    <xdr:to>
      <xdr:col>8</xdr:col>
      <xdr:colOff>581025</xdr:colOff>
      <xdr:row>13</xdr:row>
      <xdr:rowOff>138112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CCAC1667-BBA8-4745-8750-AD9061DF34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29300" y="261937"/>
              <a:ext cx="2676525" cy="2847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9</xdr:col>
      <xdr:colOff>115981</xdr:colOff>
      <xdr:row>0</xdr:row>
      <xdr:rowOff>258575</xdr:rowOff>
    </xdr:from>
    <xdr:to>
      <xdr:col>13</xdr:col>
      <xdr:colOff>401731</xdr:colOff>
      <xdr:row>13</xdr:row>
      <xdr:rowOff>134750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Диаграмма 2">
              <a:extLst>
                <a:ext uri="{FF2B5EF4-FFF2-40B4-BE49-F238E27FC236}">
                  <a16:creationId xmlns:a16="http://schemas.microsoft.com/office/drawing/2014/main" id="{C4CBEA43-FF1D-4908-8B9C-9A9D262472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50381" y="258575"/>
              <a:ext cx="2724150" cy="2847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25</xdr:col>
      <xdr:colOff>506247</xdr:colOff>
      <xdr:row>6</xdr:row>
      <xdr:rowOff>112144</xdr:rowOff>
    </xdr:from>
    <xdr:to>
      <xdr:col>31</xdr:col>
      <xdr:colOff>293336</xdr:colOff>
      <xdr:row>20</xdr:row>
      <xdr:rowOff>31461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5A6D92F-BC10-44C8-9519-139E54614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33</xdr:col>
      <xdr:colOff>35859</xdr:colOff>
      <xdr:row>10</xdr:row>
      <xdr:rowOff>5043</xdr:rowOff>
    </xdr:from>
    <xdr:ext cx="1327543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8287B30-693E-4217-8EA3-86A434A27A7C}"/>
                </a:ext>
              </a:extLst>
            </xdr:cNvPr>
            <xdr:cNvSpPr txBox="1"/>
          </xdr:nvSpPr>
          <xdr:spPr>
            <a:xfrm>
              <a:off x="29809888" y="2403102"/>
              <a:ext cx="1327543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=3030,62+0,45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</m:oMath>
                </m:oMathPara>
              </a14:m>
              <a:endParaRPr lang="en-US" sz="1100" b="0"/>
            </a:p>
            <a:p>
              <a:endParaRPr lang="ru-R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8287B30-693E-4217-8EA3-86A434A27A7C}"/>
                </a:ext>
              </a:extLst>
            </xdr:cNvPr>
            <xdr:cNvSpPr txBox="1"/>
          </xdr:nvSpPr>
          <xdr:spPr>
            <a:xfrm>
              <a:off x="29809888" y="2403102"/>
              <a:ext cx="1327543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𝑦=3030,62+0,45𝑥</a:t>
              </a:r>
              <a:endParaRPr lang="en-US" sz="1100" b="0"/>
            </a:p>
            <a:p>
              <a:endParaRPr lang="ru-RU" sz="1100"/>
            </a:p>
          </xdr:txBody>
        </xdr:sp>
      </mc:Fallback>
    </mc:AlternateContent>
    <xdr:clientData/>
  </xdr:oneCellAnchor>
  <xdr:twoCellAnchor>
    <xdr:from>
      <xdr:col>25</xdr:col>
      <xdr:colOff>488662</xdr:colOff>
      <xdr:row>6</xdr:row>
      <xdr:rowOff>100421</xdr:rowOff>
    </xdr:from>
    <xdr:to>
      <xdr:col>31</xdr:col>
      <xdr:colOff>275751</xdr:colOff>
      <xdr:row>20</xdr:row>
      <xdr:rowOff>19738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56F142C-81C9-4306-B58A-2BB5604FD2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crimestat.ru/offenses_tabl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crimestat.ru/offenses_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2"/>
  <sheetViews>
    <sheetView topLeftCell="A46" zoomScale="85" zoomScaleNormal="100" workbookViewId="0">
      <selection activeCell="C91" sqref="C91:D91"/>
    </sheetView>
  </sheetViews>
  <sheetFormatPr defaultColWidth="14.44140625" defaultRowHeight="15" customHeight="1" x14ac:dyDescent="0.3"/>
  <cols>
    <col min="1" max="1" width="8.88671875" style="4" customWidth="1"/>
    <col min="2" max="2" width="28.6640625" customWidth="1"/>
    <col min="3" max="3" width="22.109375" customWidth="1"/>
    <col min="4" max="4" width="21.21875" customWidth="1"/>
    <col min="5" max="5" width="13.33203125" customWidth="1"/>
    <col min="6" max="6" width="31" customWidth="1"/>
    <col min="7" max="7" width="13.33203125" customWidth="1"/>
    <col min="8" max="8" width="29.6640625" customWidth="1"/>
    <col min="9" max="24" width="13.33203125" customWidth="1"/>
    <col min="25" max="25" width="8.6640625" customWidth="1"/>
    <col min="26" max="26" width="13.88671875" customWidth="1"/>
    <col min="27" max="27" width="41.88671875" customWidth="1"/>
  </cols>
  <sheetData>
    <row r="1" spans="1:27" s="8" customFormat="1" ht="35.25" customHeight="1" thickBot="1" x14ac:dyDescent="0.35">
      <c r="A1" s="100" t="s">
        <v>148</v>
      </c>
      <c r="B1" s="101"/>
      <c r="C1" s="101"/>
      <c r="D1" s="102"/>
    </row>
    <row r="2" spans="1:27" ht="33" customHeight="1" x14ac:dyDescent="0.3">
      <c r="A2" s="73" t="s">
        <v>89</v>
      </c>
      <c r="B2" s="77" t="s">
        <v>0</v>
      </c>
      <c r="C2" s="103" t="s">
        <v>142</v>
      </c>
      <c r="D2" s="108" t="s">
        <v>143</v>
      </c>
      <c r="K2" s="75"/>
      <c r="L2" s="76"/>
      <c r="M2" s="75"/>
      <c r="N2" s="76"/>
      <c r="O2" s="75"/>
      <c r="P2" s="76"/>
      <c r="Q2" s="79"/>
      <c r="R2" s="76"/>
      <c r="S2" s="75"/>
      <c r="T2" s="76"/>
      <c r="U2" s="75"/>
      <c r="V2" s="76"/>
      <c r="W2" s="75"/>
      <c r="X2" s="76"/>
    </row>
    <row r="3" spans="1:27" thickBot="1" x14ac:dyDescent="0.35">
      <c r="A3" s="74"/>
      <c r="B3" s="78"/>
      <c r="C3" s="17" t="s">
        <v>1</v>
      </c>
      <c r="D3" s="16" t="s">
        <v>1</v>
      </c>
      <c r="Z3" s="5"/>
      <c r="AA3" s="5"/>
    </row>
    <row r="4" spans="1:27" ht="14.4" x14ac:dyDescent="0.3">
      <c r="A4" s="15">
        <v>1</v>
      </c>
      <c r="B4" s="18" t="s">
        <v>4</v>
      </c>
      <c r="C4" s="19">
        <v>39070</v>
      </c>
      <c r="D4" s="20">
        <f t="shared" ref="D4:D35" si="0">U4*1000</f>
        <v>58782</v>
      </c>
      <c r="H4" s="2"/>
      <c r="J4" s="1"/>
      <c r="L4" s="1"/>
      <c r="N4" s="1"/>
      <c r="P4" s="1"/>
      <c r="R4" s="1"/>
      <c r="T4" s="1"/>
      <c r="U4" s="10">
        <v>58.781999999999996</v>
      </c>
      <c r="V4" s="10">
        <v>62.646000000000001</v>
      </c>
      <c r="X4" s="1"/>
    </row>
    <row r="5" spans="1:27" ht="14.4" x14ac:dyDescent="0.3">
      <c r="A5" s="13">
        <v>2</v>
      </c>
      <c r="B5" s="21" t="s">
        <v>5</v>
      </c>
      <c r="C5" s="9">
        <v>18231</v>
      </c>
      <c r="D5" s="3">
        <f t="shared" si="0"/>
        <v>20354</v>
      </c>
      <c r="J5" s="1"/>
      <c r="L5" s="1"/>
      <c r="N5" s="1"/>
      <c r="P5" s="1"/>
      <c r="R5" s="1"/>
      <c r="T5" s="1"/>
      <c r="U5" s="10">
        <v>20.353999999999999</v>
      </c>
      <c r="V5" s="10">
        <v>23.869</v>
      </c>
      <c r="X5" s="1"/>
    </row>
    <row r="6" spans="1:27" ht="14.4" x14ac:dyDescent="0.3">
      <c r="A6" s="13">
        <v>3</v>
      </c>
      <c r="B6" s="21" t="s">
        <v>6</v>
      </c>
      <c r="C6" s="9">
        <v>16996</v>
      </c>
      <c r="D6" s="3">
        <f t="shared" si="0"/>
        <v>33252</v>
      </c>
      <c r="H6" s="2"/>
      <c r="J6" s="1"/>
      <c r="L6" s="1"/>
      <c r="N6" s="1"/>
      <c r="P6" s="1"/>
      <c r="R6" s="1"/>
      <c r="T6" s="1"/>
      <c r="U6" s="10">
        <v>33.252000000000002</v>
      </c>
      <c r="V6" s="10">
        <v>37.170999999999999</v>
      </c>
      <c r="X6" s="1"/>
    </row>
    <row r="7" spans="1:27" ht="14.4" x14ac:dyDescent="0.3">
      <c r="A7" s="13">
        <v>4</v>
      </c>
      <c r="B7" s="21" t="s">
        <v>7</v>
      </c>
      <c r="C7" s="9">
        <v>13801</v>
      </c>
      <c r="D7" s="3">
        <f t="shared" si="0"/>
        <v>38582</v>
      </c>
      <c r="H7" s="2"/>
      <c r="J7" s="1"/>
      <c r="L7" s="1"/>
      <c r="N7" s="1"/>
      <c r="P7" s="1"/>
      <c r="R7" s="1"/>
      <c r="T7" s="1"/>
      <c r="U7" s="10">
        <v>38.582000000000001</v>
      </c>
      <c r="V7" s="10">
        <v>39.247999999999998</v>
      </c>
      <c r="X7" s="1"/>
    </row>
    <row r="8" spans="1:27" ht="14.4" x14ac:dyDescent="0.3">
      <c r="A8" s="13">
        <v>5</v>
      </c>
      <c r="B8" s="21" t="s">
        <v>8</v>
      </c>
      <c r="C8" s="9">
        <v>14067</v>
      </c>
      <c r="D8" s="3">
        <f t="shared" si="0"/>
        <v>34974</v>
      </c>
      <c r="H8" s="2"/>
      <c r="J8" s="1"/>
      <c r="L8" s="1"/>
      <c r="N8" s="1"/>
      <c r="P8" s="1"/>
      <c r="R8" s="1"/>
      <c r="T8" s="1"/>
      <c r="U8" s="10">
        <v>34.973999999999997</v>
      </c>
      <c r="V8" s="10">
        <v>40.887999999999998</v>
      </c>
      <c r="X8" s="1"/>
    </row>
    <row r="9" spans="1:27" ht="14.4" x14ac:dyDescent="0.3">
      <c r="A9" s="13">
        <v>6</v>
      </c>
      <c r="B9" s="21" t="s">
        <v>9</v>
      </c>
      <c r="C9" s="9">
        <v>14202</v>
      </c>
      <c r="D9" s="3">
        <f t="shared" si="0"/>
        <v>20080</v>
      </c>
      <c r="H9" s="2"/>
      <c r="J9" s="1"/>
      <c r="L9" s="1"/>
      <c r="N9" s="1"/>
      <c r="P9" s="1"/>
      <c r="R9" s="1"/>
      <c r="T9" s="1"/>
      <c r="U9" s="10">
        <v>20.079999999999998</v>
      </c>
      <c r="V9" s="10">
        <v>23.204000000000001</v>
      </c>
      <c r="X9" s="1"/>
    </row>
    <row r="10" spans="1:27" ht="14.4" x14ac:dyDescent="0.3">
      <c r="A10" s="13">
        <v>7</v>
      </c>
      <c r="B10" s="21" t="s">
        <v>10</v>
      </c>
      <c r="C10" s="9">
        <v>16248</v>
      </c>
      <c r="D10" s="3">
        <f t="shared" si="0"/>
        <v>27999</v>
      </c>
      <c r="H10" s="2"/>
      <c r="J10" s="1"/>
      <c r="L10" s="1"/>
      <c r="N10" s="1"/>
      <c r="P10" s="1"/>
      <c r="R10" s="1"/>
      <c r="T10" s="1"/>
      <c r="U10" s="10">
        <v>27.998999999999999</v>
      </c>
      <c r="V10" s="10">
        <v>40.149000000000001</v>
      </c>
      <c r="X10" s="1"/>
    </row>
    <row r="11" spans="1:27" ht="14.4" x14ac:dyDescent="0.3">
      <c r="A11" s="13">
        <v>8</v>
      </c>
      <c r="B11" s="21" t="s">
        <v>11</v>
      </c>
      <c r="C11" s="9">
        <v>37910</v>
      </c>
      <c r="D11" s="3">
        <f t="shared" si="0"/>
        <v>64147.999999999993</v>
      </c>
      <c r="H11" s="2"/>
      <c r="J11" s="1"/>
      <c r="L11" s="1"/>
      <c r="N11" s="1"/>
      <c r="P11" s="1"/>
      <c r="R11" s="1"/>
      <c r="T11" s="1"/>
      <c r="U11" s="10">
        <v>64.147999999999996</v>
      </c>
      <c r="V11" s="10">
        <v>97.215999999999994</v>
      </c>
      <c r="X11" s="1"/>
    </row>
    <row r="12" spans="1:27" ht="14.4" x14ac:dyDescent="0.3">
      <c r="A12" s="13">
        <v>9</v>
      </c>
      <c r="B12" s="21" t="s">
        <v>12</v>
      </c>
      <c r="C12" s="9">
        <v>17775</v>
      </c>
      <c r="D12" s="3">
        <f t="shared" si="0"/>
        <v>25905</v>
      </c>
      <c r="H12" s="2"/>
      <c r="J12" s="1"/>
      <c r="L12" s="1"/>
      <c r="N12" s="1"/>
      <c r="P12" s="1"/>
      <c r="R12" s="1"/>
      <c r="T12" s="1"/>
      <c r="U12" s="10">
        <v>25.905000000000001</v>
      </c>
      <c r="V12" s="10">
        <v>35.100999999999999</v>
      </c>
      <c r="X12" s="1"/>
    </row>
    <row r="13" spans="1:27" ht="14.4" x14ac:dyDescent="0.3">
      <c r="A13" s="13">
        <v>10</v>
      </c>
      <c r="B13" s="21" t="s">
        <v>13</v>
      </c>
      <c r="C13" s="9">
        <v>29552</v>
      </c>
      <c r="D13" s="3">
        <f t="shared" si="0"/>
        <v>45599</v>
      </c>
      <c r="H13" s="2"/>
      <c r="J13" s="1"/>
      <c r="L13" s="1"/>
      <c r="N13" s="1"/>
      <c r="P13" s="1"/>
      <c r="R13" s="1"/>
      <c r="T13" s="1"/>
      <c r="U13" s="10">
        <v>45.598999999999997</v>
      </c>
      <c r="V13" s="10">
        <v>50.658999999999999</v>
      </c>
      <c r="X13" s="1"/>
    </row>
    <row r="14" spans="1:27" ht="14.4" x14ac:dyDescent="0.3">
      <c r="A14" s="13">
        <v>11</v>
      </c>
      <c r="B14" s="21" t="s">
        <v>14</v>
      </c>
      <c r="C14" s="9">
        <v>3323</v>
      </c>
      <c r="D14" s="3">
        <f t="shared" si="0"/>
        <v>4189</v>
      </c>
      <c r="H14" s="2"/>
      <c r="J14" s="1"/>
      <c r="L14" s="1"/>
      <c r="N14" s="1"/>
      <c r="P14" s="1"/>
      <c r="R14" s="1"/>
      <c r="T14" s="1"/>
      <c r="U14" s="10">
        <v>4.1890000000000001</v>
      </c>
      <c r="V14" s="10">
        <v>4.7910000000000004</v>
      </c>
      <c r="X14" s="1"/>
    </row>
    <row r="15" spans="1:27" ht="14.4" x14ac:dyDescent="0.3">
      <c r="A15" s="13">
        <v>12</v>
      </c>
      <c r="B15" s="21" t="s">
        <v>15</v>
      </c>
      <c r="C15" s="9">
        <v>21707</v>
      </c>
      <c r="D15" s="3">
        <f t="shared" si="0"/>
        <v>47321</v>
      </c>
      <c r="H15" s="2"/>
      <c r="J15" s="1"/>
      <c r="L15" s="1"/>
      <c r="N15" s="1"/>
      <c r="P15" s="1"/>
      <c r="R15" s="1"/>
      <c r="T15" s="1"/>
      <c r="U15" s="10">
        <v>47.320999999999998</v>
      </c>
      <c r="V15" s="10">
        <v>50.472999999999999</v>
      </c>
      <c r="X15" s="1"/>
    </row>
    <row r="16" spans="1:27" ht="14.4" x14ac:dyDescent="0.3">
      <c r="A16" s="13">
        <v>13</v>
      </c>
      <c r="B16" s="21" t="s">
        <v>16</v>
      </c>
      <c r="C16" s="9">
        <v>12064</v>
      </c>
      <c r="D16" s="3">
        <f t="shared" si="0"/>
        <v>22510</v>
      </c>
      <c r="H16" s="2"/>
      <c r="J16" s="1"/>
      <c r="L16" s="1"/>
      <c r="N16" s="1"/>
      <c r="P16" s="1"/>
      <c r="R16" s="1"/>
      <c r="T16" s="1"/>
      <c r="U16" s="10">
        <v>22.51</v>
      </c>
      <c r="V16" s="10">
        <v>26.446000000000002</v>
      </c>
      <c r="X16" s="1"/>
    </row>
    <row r="17" spans="1:24" ht="14.4" x14ac:dyDescent="0.3">
      <c r="A17" s="13">
        <v>14</v>
      </c>
      <c r="B17" s="21" t="s">
        <v>17</v>
      </c>
      <c r="C17" s="9">
        <v>39363</v>
      </c>
      <c r="D17" s="3">
        <f t="shared" si="0"/>
        <v>68776</v>
      </c>
      <c r="H17" s="2"/>
      <c r="J17" s="1"/>
      <c r="L17" s="1"/>
      <c r="N17" s="1"/>
      <c r="P17" s="1"/>
      <c r="R17" s="1"/>
      <c r="T17" s="1"/>
      <c r="U17" s="10">
        <v>68.775999999999996</v>
      </c>
      <c r="V17" s="10">
        <v>88.483000000000004</v>
      </c>
      <c r="X17" s="1"/>
    </row>
    <row r="18" spans="1:24" ht="14.4" x14ac:dyDescent="0.3">
      <c r="A18" s="13">
        <v>15</v>
      </c>
      <c r="B18" s="21" t="s">
        <v>18</v>
      </c>
      <c r="C18" s="9">
        <v>7557</v>
      </c>
      <c r="D18" s="3">
        <f t="shared" si="0"/>
        <v>54876</v>
      </c>
      <c r="H18" s="2"/>
      <c r="J18" s="1"/>
      <c r="L18" s="1"/>
      <c r="N18" s="1"/>
      <c r="P18" s="1"/>
      <c r="R18" s="1"/>
      <c r="T18" s="1"/>
      <c r="U18" s="10">
        <v>54.875999999999998</v>
      </c>
      <c r="V18" s="10">
        <v>69.022999999999996</v>
      </c>
      <c r="X18" s="1"/>
    </row>
    <row r="19" spans="1:24" ht="14.4" x14ac:dyDescent="0.3">
      <c r="A19" s="13">
        <v>16</v>
      </c>
      <c r="B19" s="21" t="s">
        <v>19</v>
      </c>
      <c r="C19" s="9">
        <v>13269</v>
      </c>
      <c r="D19" s="3">
        <f t="shared" si="0"/>
        <v>27105</v>
      </c>
      <c r="H19" s="2"/>
      <c r="J19" s="1"/>
      <c r="L19" s="1"/>
      <c r="N19" s="1"/>
      <c r="P19" s="1"/>
      <c r="R19" s="1"/>
      <c r="T19" s="1"/>
      <c r="U19" s="10">
        <v>27.105</v>
      </c>
      <c r="V19" s="10">
        <v>31.190999999999999</v>
      </c>
      <c r="X19" s="1"/>
    </row>
    <row r="20" spans="1:24" ht="14.4" x14ac:dyDescent="0.3">
      <c r="A20" s="13">
        <v>17</v>
      </c>
      <c r="B20" s="21" t="s">
        <v>20</v>
      </c>
      <c r="C20" s="9">
        <v>15961</v>
      </c>
      <c r="D20" s="3">
        <f t="shared" si="0"/>
        <v>22592</v>
      </c>
      <c r="H20" s="2"/>
      <c r="J20" s="1"/>
      <c r="L20" s="1"/>
      <c r="N20" s="1"/>
      <c r="P20" s="1"/>
      <c r="R20" s="1"/>
      <c r="T20" s="1"/>
      <c r="U20" s="10">
        <v>22.591999999999999</v>
      </c>
      <c r="V20" s="10">
        <v>26.416</v>
      </c>
      <c r="X20" s="1"/>
    </row>
    <row r="21" spans="1:24" ht="15.75" customHeight="1" x14ac:dyDescent="0.3">
      <c r="A21" s="13">
        <v>18</v>
      </c>
      <c r="B21" s="21" t="s">
        <v>21</v>
      </c>
      <c r="C21" s="9">
        <v>5909</v>
      </c>
      <c r="D21" s="3">
        <f t="shared" si="0"/>
        <v>5840</v>
      </c>
      <c r="H21" s="2"/>
      <c r="J21" s="1"/>
      <c r="L21" s="1"/>
      <c r="N21" s="1"/>
      <c r="P21" s="1"/>
      <c r="R21" s="1"/>
      <c r="T21" s="1"/>
      <c r="U21" s="10">
        <v>5.84</v>
      </c>
      <c r="V21" s="10">
        <v>6.444</v>
      </c>
      <c r="X21" s="1"/>
    </row>
    <row r="22" spans="1:24" ht="15.75" customHeight="1" x14ac:dyDescent="0.3">
      <c r="A22" s="13">
        <v>19</v>
      </c>
      <c r="B22" s="21" t="s">
        <v>22</v>
      </c>
      <c r="C22" s="9">
        <v>4345</v>
      </c>
      <c r="D22" s="3">
        <f t="shared" si="0"/>
        <v>26425</v>
      </c>
      <c r="H22" s="2"/>
      <c r="J22" s="1"/>
      <c r="L22" s="1"/>
      <c r="N22" s="1"/>
      <c r="P22" s="1"/>
      <c r="R22" s="1"/>
      <c r="T22" s="1"/>
      <c r="U22" s="10">
        <v>26.425000000000001</v>
      </c>
      <c r="V22" s="10">
        <v>30.353999999999999</v>
      </c>
      <c r="X22" s="1"/>
    </row>
    <row r="23" spans="1:24" ht="15.75" customHeight="1" x14ac:dyDescent="0.3">
      <c r="A23" s="13">
        <v>20</v>
      </c>
      <c r="B23" s="21" t="s">
        <v>23</v>
      </c>
      <c r="C23" s="9">
        <v>50465</v>
      </c>
      <c r="D23" s="3">
        <f t="shared" si="0"/>
        <v>68552</v>
      </c>
      <c r="H23" s="2"/>
      <c r="J23" s="1"/>
      <c r="L23" s="1"/>
      <c r="N23" s="1"/>
      <c r="P23" s="1"/>
      <c r="R23" s="1"/>
      <c r="T23" s="1"/>
      <c r="U23" s="10">
        <v>68.552000000000007</v>
      </c>
      <c r="V23" s="10">
        <v>85.468000000000004</v>
      </c>
      <c r="X23" s="1"/>
    </row>
    <row r="24" spans="1:24" ht="15.75" customHeight="1" x14ac:dyDescent="0.3">
      <c r="A24" s="13">
        <v>21</v>
      </c>
      <c r="B24" s="21" t="s">
        <v>24</v>
      </c>
      <c r="C24" s="9">
        <v>19034</v>
      </c>
      <c r="D24" s="3">
        <f t="shared" si="0"/>
        <v>29046</v>
      </c>
      <c r="H24" s="2"/>
      <c r="J24" s="1"/>
      <c r="L24" s="1"/>
      <c r="N24" s="1"/>
      <c r="P24" s="1"/>
      <c r="R24" s="1"/>
      <c r="T24" s="1"/>
      <c r="U24" s="10">
        <v>29.045999999999999</v>
      </c>
      <c r="V24" s="10">
        <v>32.357999999999997</v>
      </c>
      <c r="X24" s="1"/>
    </row>
    <row r="25" spans="1:24" ht="15.75" customHeight="1" x14ac:dyDescent="0.3">
      <c r="A25" s="13">
        <v>22</v>
      </c>
      <c r="B25" s="21" t="s">
        <v>25</v>
      </c>
      <c r="C25" s="9">
        <v>8927</v>
      </c>
      <c r="D25" s="3">
        <f t="shared" si="0"/>
        <v>12404</v>
      </c>
      <c r="H25" s="2"/>
      <c r="J25" s="1"/>
      <c r="L25" s="1"/>
      <c r="N25" s="1"/>
      <c r="P25" s="1"/>
      <c r="R25" s="1"/>
      <c r="T25" s="1"/>
      <c r="U25" s="10">
        <v>12.404</v>
      </c>
      <c r="V25" s="10">
        <v>15.964</v>
      </c>
      <c r="X25" s="1"/>
    </row>
    <row r="26" spans="1:24" ht="15.75" customHeight="1" x14ac:dyDescent="0.3">
      <c r="A26" s="13">
        <v>23</v>
      </c>
      <c r="B26" s="21" t="s">
        <v>26</v>
      </c>
      <c r="C26" s="9">
        <v>78183</v>
      </c>
      <c r="D26" s="3">
        <f t="shared" si="0"/>
        <v>145782</v>
      </c>
      <c r="H26" s="2"/>
      <c r="J26" s="1"/>
      <c r="L26" s="1"/>
      <c r="N26" s="1"/>
      <c r="P26" s="1"/>
      <c r="R26" s="1"/>
      <c r="T26" s="1"/>
      <c r="U26" s="10">
        <v>145.78200000000001</v>
      </c>
      <c r="V26" s="10">
        <v>163.31200000000001</v>
      </c>
      <c r="X26" s="1"/>
    </row>
    <row r="27" spans="1:24" ht="15.75" customHeight="1" x14ac:dyDescent="0.3">
      <c r="A27" s="13">
        <v>24</v>
      </c>
      <c r="B27" s="21" t="s">
        <v>27</v>
      </c>
      <c r="C27" s="9">
        <v>47027</v>
      </c>
      <c r="D27" s="3">
        <f t="shared" si="0"/>
        <v>51356</v>
      </c>
      <c r="H27" s="2"/>
      <c r="J27" s="1"/>
      <c r="L27" s="1"/>
      <c r="N27" s="1"/>
      <c r="P27" s="1"/>
      <c r="R27" s="1"/>
      <c r="T27" s="1"/>
      <c r="U27" s="10">
        <v>51.356000000000002</v>
      </c>
      <c r="V27" s="10">
        <v>87.584999999999994</v>
      </c>
      <c r="X27" s="1"/>
    </row>
    <row r="28" spans="1:24" ht="15.75" customHeight="1" x14ac:dyDescent="0.3">
      <c r="A28" s="13">
        <v>25</v>
      </c>
      <c r="B28" s="21" t="s">
        <v>28</v>
      </c>
      <c r="C28" s="9">
        <v>14765</v>
      </c>
      <c r="D28" s="3">
        <f t="shared" si="0"/>
        <v>26605</v>
      </c>
      <c r="H28" s="2"/>
      <c r="J28" s="1"/>
      <c r="L28" s="1"/>
      <c r="N28" s="1"/>
      <c r="P28" s="1"/>
      <c r="R28" s="1"/>
      <c r="T28" s="1"/>
      <c r="U28" s="10">
        <v>26.605</v>
      </c>
      <c r="V28" s="10">
        <v>29.216000000000001</v>
      </c>
      <c r="X28" s="1"/>
    </row>
    <row r="29" spans="1:24" ht="15.75" customHeight="1" x14ac:dyDescent="0.3">
      <c r="A29" s="13">
        <v>26</v>
      </c>
      <c r="B29" s="21" t="s">
        <v>29</v>
      </c>
      <c r="C29" s="9">
        <v>13538</v>
      </c>
      <c r="D29" s="3">
        <f t="shared" si="0"/>
        <v>22315</v>
      </c>
      <c r="H29" s="2"/>
      <c r="J29" s="1"/>
      <c r="L29" s="1"/>
      <c r="N29" s="1"/>
      <c r="P29" s="1"/>
      <c r="R29" s="1"/>
      <c r="T29" s="1"/>
      <c r="U29" s="10">
        <v>22.315000000000001</v>
      </c>
      <c r="V29" s="10">
        <v>26.754999999999999</v>
      </c>
      <c r="X29" s="1"/>
    </row>
    <row r="30" spans="1:24" ht="15.75" customHeight="1" x14ac:dyDescent="0.3">
      <c r="A30" s="13">
        <v>27</v>
      </c>
      <c r="B30" s="21" t="s">
        <v>30</v>
      </c>
      <c r="C30" s="9">
        <v>27092</v>
      </c>
      <c r="D30" s="3">
        <f t="shared" si="0"/>
        <v>39681</v>
      </c>
      <c r="H30" s="2"/>
      <c r="J30" s="1"/>
      <c r="L30" s="1"/>
      <c r="N30" s="1"/>
      <c r="P30" s="1"/>
      <c r="R30" s="1"/>
      <c r="T30" s="1"/>
      <c r="U30" s="10">
        <v>39.680999999999997</v>
      </c>
      <c r="V30" s="10">
        <v>55.311999999999998</v>
      </c>
      <c r="X30" s="1"/>
    </row>
    <row r="31" spans="1:24" ht="15.75" customHeight="1" x14ac:dyDescent="0.3">
      <c r="A31" s="13">
        <v>28</v>
      </c>
      <c r="B31" s="21" t="s">
        <v>31</v>
      </c>
      <c r="C31" s="9">
        <v>13073</v>
      </c>
      <c r="D31" s="3">
        <f t="shared" si="0"/>
        <v>26114</v>
      </c>
      <c r="H31" s="2"/>
      <c r="J31" s="1"/>
      <c r="L31" s="1"/>
      <c r="N31" s="1"/>
      <c r="P31" s="1"/>
      <c r="R31" s="1"/>
      <c r="T31" s="1"/>
      <c r="U31" s="10">
        <v>26.114000000000001</v>
      </c>
      <c r="V31" s="10">
        <v>26.324000000000002</v>
      </c>
      <c r="X31" s="1"/>
    </row>
    <row r="32" spans="1:24" ht="15.75" customHeight="1" x14ac:dyDescent="0.3">
      <c r="A32" s="13">
        <v>29</v>
      </c>
      <c r="B32" s="21" t="s">
        <v>32</v>
      </c>
      <c r="C32" s="9">
        <v>2562</v>
      </c>
      <c r="D32" s="3">
        <f t="shared" si="0"/>
        <v>4281</v>
      </c>
      <c r="H32" s="2"/>
      <c r="J32" s="1"/>
      <c r="L32" s="1"/>
      <c r="N32" s="1"/>
      <c r="P32" s="1"/>
      <c r="R32" s="1"/>
      <c r="T32" s="1"/>
      <c r="U32" s="10">
        <v>4.2809999999999997</v>
      </c>
      <c r="V32" s="10">
        <v>4.8949999999999996</v>
      </c>
      <c r="X32" s="1"/>
    </row>
    <row r="33" spans="1:24" ht="15.75" customHeight="1" x14ac:dyDescent="0.3">
      <c r="A33" s="13">
        <v>30</v>
      </c>
      <c r="B33" s="21" t="s">
        <v>33</v>
      </c>
      <c r="C33" s="9">
        <v>73780</v>
      </c>
      <c r="D33" s="3">
        <f t="shared" si="0"/>
        <v>154074</v>
      </c>
      <c r="H33" s="2"/>
      <c r="J33" s="1"/>
      <c r="L33" s="1"/>
      <c r="N33" s="1"/>
      <c r="P33" s="1"/>
      <c r="R33" s="1"/>
      <c r="T33" s="1"/>
      <c r="U33" s="10">
        <v>154.07400000000001</v>
      </c>
      <c r="V33" s="10">
        <v>163.023</v>
      </c>
      <c r="X33" s="1"/>
    </row>
    <row r="34" spans="1:24" ht="15.75" customHeight="1" x14ac:dyDescent="0.3">
      <c r="A34" s="13">
        <v>31</v>
      </c>
      <c r="B34" s="21" t="s">
        <v>34</v>
      </c>
      <c r="C34" s="9">
        <v>12096</v>
      </c>
      <c r="D34" s="3">
        <f t="shared" si="0"/>
        <v>22113</v>
      </c>
      <c r="H34" s="2"/>
      <c r="J34" s="1"/>
      <c r="L34" s="1"/>
      <c r="N34" s="1"/>
      <c r="P34" s="1"/>
      <c r="R34" s="1"/>
      <c r="T34" s="1"/>
      <c r="U34" s="10">
        <v>22.113</v>
      </c>
      <c r="V34" s="10">
        <v>29.277000000000001</v>
      </c>
      <c r="X34" s="1"/>
    </row>
    <row r="35" spans="1:24" ht="15.75" customHeight="1" x14ac:dyDescent="0.3">
      <c r="A35" s="13">
        <v>32</v>
      </c>
      <c r="B35" s="21" t="s">
        <v>35</v>
      </c>
      <c r="C35" s="9">
        <v>852</v>
      </c>
      <c r="D35" s="3">
        <f t="shared" si="0"/>
        <v>1530</v>
      </c>
      <c r="H35" s="2"/>
      <c r="J35" s="1"/>
      <c r="L35" s="1"/>
      <c r="N35" s="1"/>
      <c r="P35" s="1"/>
      <c r="R35" s="1"/>
      <c r="T35" s="1"/>
      <c r="U35" s="10">
        <v>1.53</v>
      </c>
      <c r="V35" s="10">
        <v>1.8979999999999999</v>
      </c>
      <c r="X35" s="1"/>
    </row>
    <row r="36" spans="1:24" ht="15.75" customHeight="1" x14ac:dyDescent="0.3">
      <c r="A36" s="13">
        <v>33</v>
      </c>
      <c r="B36" s="21" t="s">
        <v>36</v>
      </c>
      <c r="C36" s="9">
        <v>40530</v>
      </c>
      <c r="D36" s="3">
        <f t="shared" ref="D36:D67" si="1">U36*1000</f>
        <v>72297</v>
      </c>
      <c r="H36" s="2"/>
      <c r="J36" s="1"/>
      <c r="L36" s="1"/>
      <c r="N36" s="1"/>
      <c r="P36" s="1"/>
      <c r="R36" s="1"/>
      <c r="T36" s="1"/>
      <c r="U36" s="10">
        <v>72.296999999999997</v>
      </c>
      <c r="V36" s="10">
        <v>78.563999999999993</v>
      </c>
      <c r="X36" s="1"/>
    </row>
    <row r="37" spans="1:24" ht="15.75" customHeight="1" x14ac:dyDescent="0.3">
      <c r="A37" s="13">
        <v>34</v>
      </c>
      <c r="B37" s="21" t="s">
        <v>37</v>
      </c>
      <c r="C37" s="9">
        <v>10630</v>
      </c>
      <c r="D37" s="3">
        <f t="shared" si="1"/>
        <v>12191</v>
      </c>
      <c r="H37" s="2"/>
      <c r="J37" s="1"/>
      <c r="L37" s="1"/>
      <c r="N37" s="1"/>
      <c r="P37" s="1"/>
      <c r="R37" s="1"/>
      <c r="T37" s="1"/>
      <c r="U37" s="10">
        <v>12.191000000000001</v>
      </c>
      <c r="V37" s="10">
        <v>16.719000000000001</v>
      </c>
      <c r="X37" s="1"/>
    </row>
    <row r="38" spans="1:24" ht="15.75" customHeight="1" x14ac:dyDescent="0.3">
      <c r="A38" s="13">
        <v>35</v>
      </c>
      <c r="B38" s="21" t="s">
        <v>38</v>
      </c>
      <c r="C38" s="9">
        <v>46463</v>
      </c>
      <c r="D38" s="3">
        <f t="shared" si="1"/>
        <v>87071</v>
      </c>
      <c r="H38" s="2"/>
      <c r="J38" s="1"/>
      <c r="L38" s="1"/>
      <c r="N38" s="1"/>
      <c r="P38" s="1"/>
      <c r="R38" s="1"/>
      <c r="T38" s="1"/>
      <c r="U38" s="10">
        <v>87.070999999999998</v>
      </c>
      <c r="V38" s="10">
        <v>92.632999999999996</v>
      </c>
      <c r="X38" s="1"/>
    </row>
    <row r="39" spans="1:24" ht="15.75" customHeight="1" x14ac:dyDescent="0.3">
      <c r="A39" s="13">
        <v>36</v>
      </c>
      <c r="B39" s="21" t="s">
        <v>39</v>
      </c>
      <c r="C39" s="9">
        <v>23825</v>
      </c>
      <c r="D39" s="3">
        <f t="shared" si="1"/>
        <v>64125</v>
      </c>
      <c r="H39" s="2"/>
      <c r="J39" s="1"/>
      <c r="L39" s="1"/>
      <c r="N39" s="1"/>
      <c r="P39" s="1"/>
      <c r="R39" s="1"/>
      <c r="T39" s="1"/>
      <c r="U39" s="10">
        <v>64.125</v>
      </c>
      <c r="V39" s="10">
        <v>89.32</v>
      </c>
      <c r="X39" s="1"/>
    </row>
    <row r="40" spans="1:24" ht="15.75" customHeight="1" x14ac:dyDescent="0.3">
      <c r="A40" s="13">
        <v>37</v>
      </c>
      <c r="B40" s="21" t="s">
        <v>40</v>
      </c>
      <c r="C40" s="9">
        <v>24989</v>
      </c>
      <c r="D40" s="3">
        <f t="shared" si="1"/>
        <v>43157</v>
      </c>
      <c r="H40" s="2"/>
      <c r="J40" s="1"/>
      <c r="L40" s="1"/>
      <c r="N40" s="1"/>
      <c r="P40" s="1"/>
      <c r="R40" s="1"/>
      <c r="T40" s="1"/>
      <c r="U40" s="10">
        <v>43.156999999999996</v>
      </c>
      <c r="V40" s="10">
        <v>53.954000000000001</v>
      </c>
      <c r="X40" s="1"/>
    </row>
    <row r="41" spans="1:24" ht="15.75" customHeight="1" x14ac:dyDescent="0.3">
      <c r="A41" s="13">
        <v>38</v>
      </c>
      <c r="B41" s="21" t="s">
        <v>41</v>
      </c>
      <c r="C41" s="9">
        <v>8151</v>
      </c>
      <c r="D41" s="3">
        <f t="shared" si="1"/>
        <v>16337</v>
      </c>
      <c r="H41" s="2"/>
      <c r="J41" s="1"/>
      <c r="L41" s="1"/>
      <c r="N41" s="1"/>
      <c r="P41" s="1"/>
      <c r="R41" s="1"/>
      <c r="T41" s="1"/>
      <c r="U41" s="10">
        <v>16.337</v>
      </c>
      <c r="V41" s="10">
        <v>21.251999999999999</v>
      </c>
      <c r="X41" s="1"/>
    </row>
    <row r="42" spans="1:24" ht="15.75" customHeight="1" x14ac:dyDescent="0.3">
      <c r="A42" s="13">
        <v>39</v>
      </c>
      <c r="B42" s="21" t="s">
        <v>42</v>
      </c>
      <c r="C42" s="9">
        <v>13470</v>
      </c>
      <c r="D42" s="3">
        <f t="shared" si="1"/>
        <v>27941</v>
      </c>
      <c r="H42" s="2"/>
      <c r="J42" s="1"/>
      <c r="L42" s="1"/>
      <c r="N42" s="1"/>
      <c r="P42" s="1"/>
      <c r="R42" s="1"/>
      <c r="T42" s="1"/>
      <c r="U42" s="10">
        <v>27.940999999999999</v>
      </c>
      <c r="V42" s="10">
        <v>31.516999999999999</v>
      </c>
      <c r="X42" s="1"/>
    </row>
    <row r="43" spans="1:24" ht="15.75" customHeight="1" x14ac:dyDescent="0.3">
      <c r="A43" s="13">
        <v>40</v>
      </c>
      <c r="B43" s="21" t="s">
        <v>43</v>
      </c>
      <c r="C43" s="9">
        <v>40594</v>
      </c>
      <c r="D43" s="3">
        <f t="shared" si="1"/>
        <v>56349</v>
      </c>
      <c r="H43" s="2"/>
      <c r="J43" s="1"/>
      <c r="L43" s="1"/>
      <c r="N43" s="1"/>
      <c r="P43" s="1"/>
      <c r="R43" s="1"/>
      <c r="T43" s="1"/>
      <c r="U43" s="10">
        <v>56.348999999999997</v>
      </c>
      <c r="V43" s="10">
        <v>69.766999999999996</v>
      </c>
      <c r="X43" s="1"/>
    </row>
    <row r="44" spans="1:24" ht="15.75" customHeight="1" x14ac:dyDescent="0.3">
      <c r="A44" s="13">
        <v>41</v>
      </c>
      <c r="B44" s="21" t="s">
        <v>44</v>
      </c>
      <c r="C44" s="9">
        <v>35098</v>
      </c>
      <c r="D44" s="3">
        <f t="shared" si="1"/>
        <v>40813</v>
      </c>
      <c r="H44" s="2"/>
      <c r="J44" s="1"/>
      <c r="L44" s="1"/>
      <c r="N44" s="1"/>
      <c r="P44" s="1"/>
      <c r="R44" s="1"/>
      <c r="T44" s="1"/>
      <c r="U44" s="10">
        <v>40.813000000000002</v>
      </c>
      <c r="V44" s="10">
        <v>52.902000000000001</v>
      </c>
      <c r="X44" s="1"/>
    </row>
    <row r="45" spans="1:24" ht="15.75" customHeight="1" x14ac:dyDescent="0.3">
      <c r="A45" s="13">
        <v>42</v>
      </c>
      <c r="B45" s="21" t="s">
        <v>45</v>
      </c>
      <c r="C45" s="9">
        <v>8377</v>
      </c>
      <c r="D45" s="3">
        <f t="shared" si="1"/>
        <v>14674</v>
      </c>
      <c r="H45" s="2"/>
      <c r="J45" s="1"/>
      <c r="L45" s="1"/>
      <c r="N45" s="1"/>
      <c r="P45" s="1"/>
      <c r="R45" s="1"/>
      <c r="T45" s="1"/>
      <c r="U45" s="10">
        <v>14.673999999999999</v>
      </c>
      <c r="V45" s="10">
        <v>18.731999999999999</v>
      </c>
      <c r="X45" s="1"/>
    </row>
    <row r="46" spans="1:24" ht="15.75" customHeight="1" x14ac:dyDescent="0.3">
      <c r="A46" s="13">
        <v>43</v>
      </c>
      <c r="B46" s="21" t="s">
        <v>46</v>
      </c>
      <c r="C46" s="9">
        <v>4496</v>
      </c>
      <c r="D46" s="3">
        <f t="shared" si="1"/>
        <v>17811</v>
      </c>
      <c r="H46" s="2"/>
      <c r="J46" s="1"/>
      <c r="L46" s="1"/>
      <c r="N46" s="1"/>
      <c r="P46" s="1"/>
      <c r="R46" s="1"/>
      <c r="T46" s="1"/>
      <c r="U46" s="10">
        <v>17.811</v>
      </c>
      <c r="V46" s="10">
        <v>17.905999999999999</v>
      </c>
      <c r="X46" s="1"/>
    </row>
    <row r="47" spans="1:24" ht="15.75" customHeight="1" x14ac:dyDescent="0.3">
      <c r="A47" s="13">
        <v>44</v>
      </c>
      <c r="B47" s="21" t="s">
        <v>47</v>
      </c>
      <c r="C47" s="9">
        <v>4762</v>
      </c>
      <c r="D47" s="3">
        <f t="shared" si="1"/>
        <v>11285</v>
      </c>
      <c r="H47" s="2"/>
      <c r="J47" s="1"/>
      <c r="L47" s="1"/>
      <c r="N47" s="1"/>
      <c r="P47" s="1"/>
      <c r="R47" s="1"/>
      <c r="T47" s="1"/>
      <c r="U47" s="10">
        <v>11.285</v>
      </c>
      <c r="V47" s="10">
        <v>13.214</v>
      </c>
      <c r="X47" s="1"/>
    </row>
    <row r="48" spans="1:24" ht="15.75" customHeight="1" x14ac:dyDescent="0.3">
      <c r="A48" s="13">
        <v>45</v>
      </c>
      <c r="B48" s="21" t="s">
        <v>48</v>
      </c>
      <c r="C48" s="9">
        <v>52437</v>
      </c>
      <c r="D48" s="3">
        <f t="shared" si="1"/>
        <v>85287</v>
      </c>
      <c r="H48" s="2"/>
      <c r="J48" s="1"/>
      <c r="L48" s="1"/>
      <c r="N48" s="1"/>
      <c r="P48" s="1"/>
      <c r="R48" s="1"/>
      <c r="T48" s="1"/>
      <c r="U48" s="10">
        <v>85.287000000000006</v>
      </c>
      <c r="V48" s="10">
        <v>114.11499999999999</v>
      </c>
      <c r="X48" s="1"/>
    </row>
    <row r="49" spans="1:24" ht="15.75" customHeight="1" x14ac:dyDescent="0.3">
      <c r="A49" s="13">
        <v>46</v>
      </c>
      <c r="B49" s="21" t="s">
        <v>49</v>
      </c>
      <c r="C49" s="9">
        <v>20770</v>
      </c>
      <c r="D49" s="3">
        <f t="shared" si="1"/>
        <v>41180</v>
      </c>
      <c r="H49" s="2"/>
      <c r="J49" s="1"/>
      <c r="L49" s="1"/>
      <c r="N49" s="1"/>
      <c r="P49" s="1"/>
      <c r="R49" s="1"/>
      <c r="T49" s="1"/>
      <c r="U49" s="10">
        <v>41.18</v>
      </c>
      <c r="V49" s="10">
        <v>44.628999999999998</v>
      </c>
      <c r="X49" s="1"/>
    </row>
    <row r="50" spans="1:24" ht="15.75" customHeight="1" x14ac:dyDescent="0.3">
      <c r="A50" s="13">
        <v>47</v>
      </c>
      <c r="B50" s="21" t="s">
        <v>50</v>
      </c>
      <c r="C50" s="9">
        <v>14852</v>
      </c>
      <c r="D50" s="3">
        <f t="shared" si="1"/>
        <v>209777</v>
      </c>
      <c r="H50" s="2"/>
      <c r="J50" s="1"/>
      <c r="L50" s="1"/>
      <c r="N50" s="1"/>
      <c r="P50" s="1"/>
      <c r="R50" s="1"/>
      <c r="T50" s="1"/>
      <c r="U50" s="10">
        <v>209.77699999999999</v>
      </c>
      <c r="V50" s="10">
        <v>205.126</v>
      </c>
      <c r="X50" s="1"/>
    </row>
    <row r="51" spans="1:24" ht="15.75" customHeight="1" x14ac:dyDescent="0.3">
      <c r="A51" s="13">
        <v>48</v>
      </c>
      <c r="B51" s="21" t="s">
        <v>51</v>
      </c>
      <c r="C51" s="9">
        <v>2103</v>
      </c>
      <c r="D51" s="3">
        <f t="shared" si="1"/>
        <v>83696</v>
      </c>
      <c r="H51" s="2"/>
      <c r="J51" s="1"/>
      <c r="L51" s="1"/>
      <c r="N51" s="1"/>
      <c r="P51" s="1"/>
      <c r="R51" s="1"/>
      <c r="T51" s="1"/>
      <c r="U51" s="10">
        <v>83.695999999999998</v>
      </c>
      <c r="V51" s="10">
        <v>78.665000000000006</v>
      </c>
      <c r="X51" s="1"/>
    </row>
    <row r="52" spans="1:24" ht="15.75" customHeight="1" x14ac:dyDescent="0.3">
      <c r="A52" s="13">
        <v>49</v>
      </c>
      <c r="B52" s="21" t="s">
        <v>52</v>
      </c>
      <c r="C52" s="9">
        <v>2940</v>
      </c>
      <c r="D52" s="3">
        <f t="shared" si="1"/>
        <v>12011</v>
      </c>
      <c r="H52" s="2"/>
      <c r="J52" s="1"/>
      <c r="L52" s="1"/>
      <c r="N52" s="1"/>
      <c r="P52" s="1"/>
      <c r="R52" s="1"/>
      <c r="T52" s="1"/>
      <c r="U52" s="10">
        <v>12.010999999999999</v>
      </c>
      <c r="V52" s="10">
        <v>12.829000000000001</v>
      </c>
      <c r="X52" s="1"/>
    </row>
    <row r="53" spans="1:24" ht="15.75" customHeight="1" x14ac:dyDescent="0.3">
      <c r="A53" s="13">
        <v>50</v>
      </c>
      <c r="B53" s="21" t="s">
        <v>53</v>
      </c>
      <c r="C53" s="9">
        <v>13670</v>
      </c>
      <c r="D53" s="3">
        <f t="shared" si="1"/>
        <v>17652</v>
      </c>
      <c r="H53" s="2"/>
      <c r="J53" s="1"/>
      <c r="L53" s="1"/>
      <c r="N53" s="1"/>
      <c r="P53" s="1"/>
      <c r="R53" s="1"/>
      <c r="T53" s="1"/>
      <c r="U53" s="10">
        <v>17.652000000000001</v>
      </c>
      <c r="V53" s="10">
        <v>23.532</v>
      </c>
      <c r="X53" s="1"/>
    </row>
    <row r="54" spans="1:24" ht="15.75" customHeight="1" x14ac:dyDescent="0.3">
      <c r="A54" s="13">
        <v>51</v>
      </c>
      <c r="B54" s="21" t="s">
        <v>54</v>
      </c>
      <c r="C54" s="9">
        <v>15026</v>
      </c>
      <c r="D54" s="3">
        <f t="shared" si="1"/>
        <v>26879</v>
      </c>
      <c r="H54" s="2"/>
      <c r="J54" s="1"/>
      <c r="L54" s="1"/>
      <c r="N54" s="1"/>
      <c r="P54" s="1"/>
      <c r="R54" s="1"/>
      <c r="T54" s="1"/>
      <c r="U54" s="10">
        <v>26.879000000000001</v>
      </c>
      <c r="V54" s="10">
        <v>30.172999999999998</v>
      </c>
      <c r="X54" s="1"/>
    </row>
    <row r="55" spans="1:24" ht="15.75" customHeight="1" x14ac:dyDescent="0.3">
      <c r="A55" s="13">
        <v>52</v>
      </c>
      <c r="B55" s="21" t="s">
        <v>55</v>
      </c>
      <c r="C55" s="9">
        <v>20727</v>
      </c>
      <c r="D55" s="3">
        <f t="shared" si="1"/>
        <v>54241</v>
      </c>
      <c r="H55" s="2"/>
      <c r="J55" s="1"/>
      <c r="L55" s="1"/>
      <c r="N55" s="1"/>
      <c r="P55" s="1"/>
      <c r="R55" s="1"/>
      <c r="T55" s="1"/>
      <c r="U55" s="10">
        <v>54.241</v>
      </c>
      <c r="V55" s="10">
        <v>59.243000000000002</v>
      </c>
      <c r="X55" s="1"/>
    </row>
    <row r="56" spans="1:24" ht="15.75" customHeight="1" x14ac:dyDescent="0.3">
      <c r="A56" s="13">
        <v>53</v>
      </c>
      <c r="B56" s="21" t="s">
        <v>56</v>
      </c>
      <c r="C56" s="9">
        <v>7656</v>
      </c>
      <c r="D56" s="3">
        <f t="shared" si="1"/>
        <v>17920</v>
      </c>
      <c r="H56" s="2"/>
      <c r="J56" s="1"/>
      <c r="L56" s="1"/>
      <c r="N56" s="1"/>
      <c r="P56" s="1"/>
      <c r="R56" s="1"/>
      <c r="T56" s="1"/>
      <c r="U56" s="10">
        <v>17.920000000000002</v>
      </c>
      <c r="V56" s="10">
        <v>22.352</v>
      </c>
      <c r="X56" s="1"/>
    </row>
    <row r="57" spans="1:24" ht="15.75" customHeight="1" x14ac:dyDescent="0.3">
      <c r="A57" s="13">
        <v>54</v>
      </c>
      <c r="B57" s="21" t="s">
        <v>57</v>
      </c>
      <c r="C57" s="9">
        <v>8533</v>
      </c>
      <c r="D57" s="3">
        <f t="shared" si="1"/>
        <v>17734</v>
      </c>
      <c r="H57" s="2"/>
      <c r="J57" s="1"/>
      <c r="L57" s="1"/>
      <c r="N57" s="1"/>
      <c r="P57" s="1"/>
      <c r="R57" s="1"/>
      <c r="T57" s="1"/>
      <c r="U57" s="10">
        <v>17.734000000000002</v>
      </c>
      <c r="V57" s="10">
        <v>21.75</v>
      </c>
      <c r="X57" s="1"/>
    </row>
    <row r="58" spans="1:24" ht="15.75" customHeight="1" x14ac:dyDescent="0.3">
      <c r="A58" s="13">
        <v>55</v>
      </c>
      <c r="B58" s="21" t="s">
        <v>58</v>
      </c>
      <c r="C58" s="9">
        <v>13005</v>
      </c>
      <c r="D58" s="3">
        <f t="shared" si="1"/>
        <v>34931</v>
      </c>
      <c r="H58" s="2"/>
      <c r="J58" s="1"/>
      <c r="L58" s="1"/>
      <c r="N58" s="1"/>
      <c r="P58" s="1"/>
      <c r="R58" s="1"/>
      <c r="T58" s="1"/>
      <c r="U58" s="10">
        <v>34.930999999999997</v>
      </c>
      <c r="V58" s="10">
        <v>37.421999999999997</v>
      </c>
      <c r="X58" s="1"/>
    </row>
    <row r="59" spans="1:24" ht="15.75" customHeight="1" x14ac:dyDescent="0.3">
      <c r="A59" s="13">
        <v>56</v>
      </c>
      <c r="B59" s="21" t="s">
        <v>59</v>
      </c>
      <c r="C59" s="9">
        <v>8152</v>
      </c>
      <c r="D59" s="3">
        <f t="shared" si="1"/>
        <v>42723</v>
      </c>
      <c r="H59" s="2"/>
      <c r="J59" s="1"/>
      <c r="L59" s="1"/>
      <c r="N59" s="1"/>
      <c r="P59" s="1"/>
      <c r="R59" s="1"/>
      <c r="T59" s="1"/>
      <c r="U59" s="10">
        <v>42.722999999999999</v>
      </c>
      <c r="V59" s="10">
        <v>44.591999999999999</v>
      </c>
      <c r="X59" s="1"/>
    </row>
    <row r="60" spans="1:24" ht="15.75" customHeight="1" x14ac:dyDescent="0.3">
      <c r="A60" s="13">
        <v>57</v>
      </c>
      <c r="B60" s="21" t="s">
        <v>60</v>
      </c>
      <c r="C60" s="9">
        <v>51933</v>
      </c>
      <c r="D60" s="3">
        <f t="shared" si="1"/>
        <v>55909</v>
      </c>
      <c r="H60" s="2"/>
      <c r="J60" s="1"/>
      <c r="L60" s="1"/>
      <c r="N60" s="1"/>
      <c r="P60" s="1"/>
      <c r="R60" s="1"/>
      <c r="T60" s="1"/>
      <c r="U60" s="10">
        <v>55.908999999999999</v>
      </c>
      <c r="V60" s="10">
        <v>75.977000000000004</v>
      </c>
      <c r="X60" s="1"/>
    </row>
    <row r="61" spans="1:24" ht="15.75" customHeight="1" x14ac:dyDescent="0.3">
      <c r="A61" s="13">
        <v>58</v>
      </c>
      <c r="B61" s="21" t="s">
        <v>61</v>
      </c>
      <c r="C61" s="9">
        <v>8483</v>
      </c>
      <c r="D61" s="3">
        <f t="shared" si="1"/>
        <v>19945</v>
      </c>
      <c r="H61" s="2"/>
      <c r="J61" s="1"/>
      <c r="L61" s="1"/>
      <c r="N61" s="1"/>
      <c r="P61" s="1"/>
      <c r="R61" s="1"/>
      <c r="T61" s="1"/>
      <c r="U61" s="10">
        <v>19.945</v>
      </c>
      <c r="V61" s="10">
        <v>24.295999999999999</v>
      </c>
      <c r="X61" s="1"/>
    </row>
    <row r="62" spans="1:24" ht="15.75" customHeight="1" x14ac:dyDescent="0.3">
      <c r="A62" s="13">
        <v>59</v>
      </c>
      <c r="B62" s="21" t="s">
        <v>62</v>
      </c>
      <c r="C62" s="9">
        <v>11024</v>
      </c>
      <c r="D62" s="3">
        <f t="shared" si="1"/>
        <v>16327.000000000002</v>
      </c>
      <c r="H62" s="2"/>
      <c r="J62" s="1"/>
      <c r="L62" s="1"/>
      <c r="N62" s="1"/>
      <c r="P62" s="1"/>
      <c r="R62" s="1"/>
      <c r="T62" s="1"/>
      <c r="U62" s="10">
        <v>16.327000000000002</v>
      </c>
      <c r="V62" s="10">
        <v>20.835999999999999</v>
      </c>
      <c r="X62" s="1"/>
    </row>
    <row r="63" spans="1:24" ht="15.75" customHeight="1" x14ac:dyDescent="0.3">
      <c r="A63" s="13">
        <v>60</v>
      </c>
      <c r="B63" s="21" t="s">
        <v>63</v>
      </c>
      <c r="C63" s="9">
        <v>58538</v>
      </c>
      <c r="D63" s="3">
        <f t="shared" si="1"/>
        <v>86767</v>
      </c>
      <c r="H63" s="2"/>
      <c r="J63" s="1"/>
      <c r="L63" s="1"/>
      <c r="N63" s="1"/>
      <c r="P63" s="1"/>
      <c r="R63" s="1"/>
      <c r="T63" s="1"/>
      <c r="U63" s="10">
        <v>86.766999999999996</v>
      </c>
      <c r="V63" s="10">
        <v>107.114</v>
      </c>
      <c r="X63" s="1"/>
    </row>
    <row r="64" spans="1:24" ht="15.75" customHeight="1" x14ac:dyDescent="0.3">
      <c r="A64" s="13">
        <v>61</v>
      </c>
      <c r="B64" s="21" t="s">
        <v>64</v>
      </c>
      <c r="C64" s="9">
        <v>9151</v>
      </c>
      <c r="D64" s="3">
        <f t="shared" si="1"/>
        <v>20954</v>
      </c>
      <c r="H64" s="2"/>
      <c r="J64" s="1"/>
      <c r="L64" s="1"/>
      <c r="N64" s="1"/>
      <c r="P64" s="1"/>
      <c r="R64" s="1"/>
      <c r="T64" s="1"/>
      <c r="U64" s="10">
        <v>20.954000000000001</v>
      </c>
      <c r="V64" s="10">
        <v>28.071000000000002</v>
      </c>
      <c r="X64" s="1"/>
    </row>
    <row r="65" spans="1:24" ht="15.75" customHeight="1" x14ac:dyDescent="0.3">
      <c r="A65" s="13">
        <v>62</v>
      </c>
      <c r="B65" s="21" t="s">
        <v>65</v>
      </c>
      <c r="C65" s="9">
        <v>43280</v>
      </c>
      <c r="D65" s="3">
        <f t="shared" si="1"/>
        <v>58966</v>
      </c>
      <c r="H65" s="2"/>
      <c r="J65" s="1"/>
      <c r="L65" s="1"/>
      <c r="N65" s="1"/>
      <c r="P65" s="1"/>
      <c r="R65" s="1"/>
      <c r="T65" s="1"/>
      <c r="U65" s="10">
        <v>58.966000000000001</v>
      </c>
      <c r="V65" s="10">
        <v>75.103999999999999</v>
      </c>
      <c r="X65" s="1"/>
    </row>
    <row r="66" spans="1:24" ht="15.75" customHeight="1" x14ac:dyDescent="0.3">
      <c r="A66" s="13">
        <v>63</v>
      </c>
      <c r="B66" s="21" t="s">
        <v>66</v>
      </c>
      <c r="C66" s="9">
        <v>29831</v>
      </c>
      <c r="D66" s="3">
        <f t="shared" si="1"/>
        <v>53950</v>
      </c>
      <c r="H66" s="2"/>
      <c r="J66" s="1"/>
      <c r="L66" s="1"/>
      <c r="N66" s="1"/>
      <c r="P66" s="1"/>
      <c r="R66" s="1"/>
      <c r="T66" s="1"/>
      <c r="U66" s="10">
        <v>53.95</v>
      </c>
      <c r="V66" s="10">
        <v>66.581000000000003</v>
      </c>
      <c r="X66" s="1"/>
    </row>
    <row r="67" spans="1:24" ht="15.75" customHeight="1" x14ac:dyDescent="0.3">
      <c r="A67" s="13">
        <v>64</v>
      </c>
      <c r="B67" s="21" t="s">
        <v>67</v>
      </c>
      <c r="C67" s="9">
        <v>8876</v>
      </c>
      <c r="D67" s="3">
        <f t="shared" si="1"/>
        <v>14360</v>
      </c>
      <c r="H67" s="2"/>
      <c r="J67" s="1"/>
      <c r="L67" s="1"/>
      <c r="N67" s="1"/>
      <c r="P67" s="1"/>
      <c r="R67" s="1"/>
      <c r="T67" s="1"/>
      <c r="U67" s="10">
        <v>14.36</v>
      </c>
      <c r="V67" s="10">
        <v>15.178000000000001</v>
      </c>
      <c r="X67" s="1"/>
    </row>
    <row r="68" spans="1:24" ht="15.75" customHeight="1" x14ac:dyDescent="0.3">
      <c r="A68" s="13">
        <v>65</v>
      </c>
      <c r="B68" s="21" t="s">
        <v>68</v>
      </c>
      <c r="C68" s="9">
        <v>54484</v>
      </c>
      <c r="D68" s="3">
        <f t="shared" ref="D68:D88" si="2">U68*1000</f>
        <v>86397</v>
      </c>
      <c r="H68" s="2"/>
      <c r="J68" s="1"/>
      <c r="L68" s="1"/>
      <c r="N68" s="1"/>
      <c r="P68" s="1"/>
      <c r="R68" s="1"/>
      <c r="T68" s="1"/>
      <c r="U68" s="10">
        <v>86.397000000000006</v>
      </c>
      <c r="V68" s="10">
        <v>122.22799999999999</v>
      </c>
      <c r="X68" s="1"/>
    </row>
    <row r="69" spans="1:24" ht="15.75" customHeight="1" x14ac:dyDescent="0.3">
      <c r="A69" s="13">
        <v>66</v>
      </c>
      <c r="B69" s="21" t="s">
        <v>69</v>
      </c>
      <c r="C69" s="9">
        <v>14013</v>
      </c>
      <c r="D69" s="3">
        <f t="shared" si="2"/>
        <v>23774</v>
      </c>
      <c r="H69" s="2"/>
      <c r="J69" s="1"/>
      <c r="L69" s="1"/>
      <c r="N69" s="1"/>
      <c r="P69" s="1"/>
      <c r="R69" s="1"/>
      <c r="T69" s="1"/>
      <c r="U69" s="10">
        <v>23.774000000000001</v>
      </c>
      <c r="V69" s="10">
        <v>24.704999999999998</v>
      </c>
      <c r="X69" s="1"/>
    </row>
    <row r="70" spans="1:24" ht="15.75" customHeight="1" x14ac:dyDescent="0.3">
      <c r="A70" s="13">
        <v>67</v>
      </c>
      <c r="B70" s="21" t="s">
        <v>70</v>
      </c>
      <c r="C70" s="9">
        <v>34008</v>
      </c>
      <c r="D70" s="3">
        <f t="shared" si="2"/>
        <v>75061</v>
      </c>
      <c r="H70" s="2"/>
      <c r="J70" s="1"/>
      <c r="L70" s="1"/>
      <c r="N70" s="1"/>
      <c r="P70" s="1"/>
      <c r="R70" s="1"/>
      <c r="T70" s="1"/>
      <c r="U70" s="10">
        <v>75.061000000000007</v>
      </c>
      <c r="V70" s="10">
        <v>87.382000000000005</v>
      </c>
      <c r="X70" s="1"/>
    </row>
    <row r="71" spans="1:24" ht="15.75" customHeight="1" x14ac:dyDescent="0.3">
      <c r="A71" s="13">
        <v>68</v>
      </c>
      <c r="B71" s="21" t="s">
        <v>71</v>
      </c>
      <c r="C71" s="9">
        <v>13537</v>
      </c>
      <c r="D71" s="3">
        <f t="shared" si="2"/>
        <v>20197</v>
      </c>
      <c r="H71" s="2"/>
      <c r="J71" s="1"/>
      <c r="L71" s="1"/>
      <c r="N71" s="1"/>
      <c r="P71" s="1"/>
      <c r="R71" s="1"/>
      <c r="T71" s="1"/>
      <c r="U71" s="10">
        <v>20.196999999999999</v>
      </c>
      <c r="V71" s="10">
        <v>23.202000000000002</v>
      </c>
      <c r="X71" s="1"/>
    </row>
    <row r="72" spans="1:24" ht="15.75" customHeight="1" x14ac:dyDescent="0.3">
      <c r="A72" s="13">
        <v>69</v>
      </c>
      <c r="B72" s="21" t="s">
        <v>72</v>
      </c>
      <c r="C72" s="9">
        <v>20583</v>
      </c>
      <c r="D72" s="3">
        <f t="shared" si="2"/>
        <v>25164</v>
      </c>
      <c r="H72" s="2"/>
      <c r="J72" s="1"/>
      <c r="L72" s="1"/>
      <c r="N72" s="1"/>
      <c r="P72" s="1"/>
      <c r="R72" s="1"/>
      <c r="T72" s="1"/>
      <c r="U72" s="10">
        <v>25.164000000000001</v>
      </c>
      <c r="V72" s="10">
        <v>29.001000000000001</v>
      </c>
      <c r="X72" s="1"/>
    </row>
    <row r="73" spans="1:24" ht="15.75" customHeight="1" x14ac:dyDescent="0.3">
      <c r="A73" s="13">
        <v>70</v>
      </c>
      <c r="B73" s="21" t="s">
        <v>73</v>
      </c>
      <c r="C73" s="9">
        <v>16813</v>
      </c>
      <c r="D73" s="3">
        <f t="shared" si="2"/>
        <v>36978</v>
      </c>
      <c r="H73" s="2"/>
      <c r="J73" s="1"/>
      <c r="L73" s="1"/>
      <c r="N73" s="1"/>
      <c r="P73" s="1"/>
      <c r="R73" s="1"/>
      <c r="T73" s="1"/>
      <c r="U73" s="10">
        <v>36.978000000000002</v>
      </c>
      <c r="V73" s="10">
        <v>45.963000000000001</v>
      </c>
      <c r="X73" s="1"/>
    </row>
    <row r="74" spans="1:24" ht="15.75" customHeight="1" x14ac:dyDescent="0.3">
      <c r="A74" s="13">
        <v>71</v>
      </c>
      <c r="B74" s="21" t="s">
        <v>74</v>
      </c>
      <c r="C74" s="9">
        <v>15554</v>
      </c>
      <c r="D74" s="3">
        <f t="shared" si="2"/>
        <v>31332</v>
      </c>
      <c r="H74" s="2"/>
      <c r="J74" s="1"/>
      <c r="L74" s="1"/>
      <c r="N74" s="1"/>
      <c r="P74" s="1"/>
      <c r="R74" s="1"/>
      <c r="T74" s="1"/>
      <c r="U74" s="10">
        <v>31.332000000000001</v>
      </c>
      <c r="V74" s="10">
        <v>36.404000000000003</v>
      </c>
      <c r="X74" s="1"/>
    </row>
    <row r="75" spans="1:24" ht="15.75" customHeight="1" x14ac:dyDescent="0.3">
      <c r="A75" s="13">
        <v>72</v>
      </c>
      <c r="B75" s="21" t="s">
        <v>75</v>
      </c>
      <c r="C75" s="9">
        <v>24160</v>
      </c>
      <c r="D75" s="3">
        <f t="shared" si="2"/>
        <v>32293.999999999996</v>
      </c>
      <c r="H75" s="2"/>
      <c r="J75" s="1"/>
      <c r="L75" s="1"/>
      <c r="N75" s="1"/>
      <c r="P75" s="1"/>
      <c r="R75" s="1"/>
      <c r="T75" s="1"/>
      <c r="U75" s="10">
        <v>32.293999999999997</v>
      </c>
      <c r="V75" s="10">
        <v>35.747999999999998</v>
      </c>
      <c r="X75" s="1"/>
    </row>
    <row r="76" spans="1:24" ht="15.75" customHeight="1" x14ac:dyDescent="0.3">
      <c r="A76" s="13">
        <v>73</v>
      </c>
      <c r="B76" s="21" t="s">
        <v>76</v>
      </c>
      <c r="C76" s="9">
        <v>26524</v>
      </c>
      <c r="D76" s="3">
        <f t="shared" si="2"/>
        <v>33592</v>
      </c>
      <c r="H76" s="2"/>
      <c r="J76" s="1"/>
      <c r="L76" s="1"/>
      <c r="N76" s="1"/>
      <c r="P76" s="1"/>
      <c r="R76" s="1"/>
      <c r="T76" s="1"/>
      <c r="U76" s="10">
        <v>33.591999999999999</v>
      </c>
      <c r="V76" s="10">
        <v>47.414999999999999</v>
      </c>
      <c r="X76" s="1"/>
    </row>
    <row r="77" spans="1:24" ht="15.75" customHeight="1" x14ac:dyDescent="0.3">
      <c r="A77" s="13">
        <v>74</v>
      </c>
      <c r="B77" s="21" t="s">
        <v>77</v>
      </c>
      <c r="C77" s="9">
        <v>12276</v>
      </c>
      <c r="D77" s="3">
        <f t="shared" si="2"/>
        <v>26004</v>
      </c>
      <c r="H77" s="2"/>
      <c r="J77" s="1"/>
      <c r="L77" s="1"/>
      <c r="N77" s="1"/>
      <c r="P77" s="1"/>
      <c r="R77" s="1"/>
      <c r="T77" s="1"/>
      <c r="U77" s="10">
        <v>26.004000000000001</v>
      </c>
      <c r="V77" s="10">
        <v>28.995000000000001</v>
      </c>
      <c r="X77" s="1"/>
    </row>
    <row r="78" spans="1:24" ht="15.75" customHeight="1" x14ac:dyDescent="0.3">
      <c r="A78" s="13">
        <v>75</v>
      </c>
      <c r="B78" s="21" t="s">
        <v>78</v>
      </c>
      <c r="C78" s="9">
        <v>21987</v>
      </c>
      <c r="D78" s="3">
        <f t="shared" si="2"/>
        <v>21545</v>
      </c>
      <c r="H78" s="2"/>
      <c r="J78" s="1"/>
      <c r="L78" s="1"/>
      <c r="N78" s="1"/>
      <c r="P78" s="1"/>
      <c r="R78" s="1"/>
      <c r="T78" s="1"/>
      <c r="U78" s="10">
        <v>21.545000000000002</v>
      </c>
      <c r="V78" s="10">
        <v>28.251999999999999</v>
      </c>
      <c r="X78" s="1"/>
    </row>
    <row r="79" spans="1:24" ht="15.75" customHeight="1" x14ac:dyDescent="0.3">
      <c r="A79" s="13">
        <v>76</v>
      </c>
      <c r="B79" s="21" t="s">
        <v>79</v>
      </c>
      <c r="C79" s="9">
        <v>20788</v>
      </c>
      <c r="D79" s="3">
        <f t="shared" si="2"/>
        <v>24430</v>
      </c>
      <c r="H79" s="2"/>
      <c r="J79" s="1"/>
      <c r="L79" s="1"/>
      <c r="N79" s="1"/>
      <c r="P79" s="1"/>
      <c r="R79" s="1"/>
      <c r="T79" s="1"/>
      <c r="U79" s="10">
        <v>24.43</v>
      </c>
      <c r="V79" s="10">
        <v>27.474</v>
      </c>
      <c r="X79" s="1"/>
    </row>
    <row r="80" spans="1:24" ht="15.75" customHeight="1" x14ac:dyDescent="0.3">
      <c r="A80" s="13">
        <v>77</v>
      </c>
      <c r="B80" s="21" t="s">
        <v>80</v>
      </c>
      <c r="C80" s="9">
        <v>65299</v>
      </c>
      <c r="D80" s="3">
        <f t="shared" si="2"/>
        <v>91697</v>
      </c>
      <c r="H80" s="2"/>
      <c r="J80" s="1"/>
      <c r="L80" s="1"/>
      <c r="N80" s="1"/>
      <c r="P80" s="1"/>
      <c r="R80" s="1"/>
      <c r="T80" s="1"/>
      <c r="U80" s="10">
        <v>91.697000000000003</v>
      </c>
      <c r="V80" s="10">
        <v>126.121</v>
      </c>
      <c r="X80" s="1"/>
    </row>
    <row r="81" spans="1:24" ht="15.75" customHeight="1" x14ac:dyDescent="0.3">
      <c r="A81" s="13">
        <v>78</v>
      </c>
      <c r="B81" s="21" t="s">
        <v>81</v>
      </c>
      <c r="C81" s="9">
        <v>3128</v>
      </c>
      <c r="D81" s="3">
        <f t="shared" si="2"/>
        <v>95227</v>
      </c>
      <c r="H81" s="2"/>
      <c r="J81" s="1"/>
      <c r="L81" s="1"/>
      <c r="N81" s="1"/>
      <c r="P81" s="1"/>
      <c r="R81" s="1"/>
      <c r="T81" s="1"/>
      <c r="U81" s="11">
        <v>95.227000000000004</v>
      </c>
      <c r="V81" s="11">
        <v>120.887</v>
      </c>
      <c r="X81" s="1"/>
    </row>
    <row r="82" spans="1:24" ht="15.75" customHeight="1" x14ac:dyDescent="0.3">
      <c r="A82" s="13">
        <v>79</v>
      </c>
      <c r="B82" s="21" t="s">
        <v>82</v>
      </c>
      <c r="C82" s="9">
        <v>12567</v>
      </c>
      <c r="D82" s="3">
        <f t="shared" si="2"/>
        <v>28295</v>
      </c>
      <c r="H82" s="2"/>
      <c r="J82" s="1"/>
      <c r="L82" s="1"/>
      <c r="N82" s="1"/>
      <c r="P82" s="1"/>
      <c r="R82" s="1"/>
      <c r="T82" s="1"/>
      <c r="U82" s="10">
        <v>28.295000000000002</v>
      </c>
      <c r="V82" s="10">
        <v>36.073</v>
      </c>
      <c r="X82" s="1"/>
    </row>
    <row r="83" spans="1:24" ht="15.75" customHeight="1" x14ac:dyDescent="0.3">
      <c r="A83" s="13">
        <v>80</v>
      </c>
      <c r="B83" s="21" t="s">
        <v>83</v>
      </c>
      <c r="C83" s="9">
        <v>784</v>
      </c>
      <c r="D83" s="3">
        <f t="shared" si="2"/>
        <v>803</v>
      </c>
      <c r="H83" s="2"/>
      <c r="J83" s="1"/>
      <c r="L83" s="1"/>
      <c r="N83" s="1"/>
      <c r="P83" s="1"/>
      <c r="R83" s="1"/>
      <c r="T83" s="1"/>
      <c r="U83" s="10">
        <v>0.80300000000000005</v>
      </c>
      <c r="V83" s="10">
        <v>1.349</v>
      </c>
      <c r="X83" s="1"/>
    </row>
    <row r="84" spans="1:24" ht="15.75" customHeight="1" x14ac:dyDescent="0.3">
      <c r="A84" s="13">
        <v>81</v>
      </c>
      <c r="B84" s="21" t="s">
        <v>84</v>
      </c>
      <c r="C84" s="9">
        <v>6961</v>
      </c>
      <c r="D84" s="3">
        <f t="shared" si="2"/>
        <v>6291</v>
      </c>
      <c r="H84" s="2"/>
      <c r="J84" s="1"/>
      <c r="L84" s="1"/>
      <c r="N84" s="1"/>
      <c r="P84" s="1"/>
      <c r="R84" s="1"/>
      <c r="T84" s="1"/>
      <c r="U84" s="10">
        <v>6.2910000000000004</v>
      </c>
      <c r="V84" s="10">
        <v>7.032</v>
      </c>
      <c r="X84" s="1"/>
    </row>
    <row r="85" spans="1:24" ht="15.75" customHeight="1" thickBot="1" x14ac:dyDescent="0.35">
      <c r="A85" s="13">
        <v>82</v>
      </c>
      <c r="B85" s="21" t="s">
        <v>85</v>
      </c>
      <c r="C85" s="9">
        <v>16066</v>
      </c>
      <c r="D85" s="3">
        <f t="shared" si="2"/>
        <v>38363</v>
      </c>
      <c r="H85" s="2"/>
      <c r="J85" s="1"/>
      <c r="L85" s="1"/>
      <c r="N85" s="1"/>
      <c r="P85" s="1"/>
      <c r="R85" s="1"/>
      <c r="T85" s="1"/>
      <c r="U85" s="12">
        <v>38.363</v>
      </c>
      <c r="V85" s="12">
        <v>46.661999999999999</v>
      </c>
      <c r="X85" s="1"/>
    </row>
    <row r="86" spans="1:24" ht="15.75" customHeight="1" thickTop="1" x14ac:dyDescent="0.3">
      <c r="A86" s="13">
        <v>83</v>
      </c>
      <c r="B86" s="21" t="s">
        <v>86</v>
      </c>
      <c r="C86" s="9">
        <v>143564</v>
      </c>
      <c r="D86" s="3">
        <f t="shared" si="2"/>
        <v>202149</v>
      </c>
      <c r="H86" s="2"/>
      <c r="J86" s="1"/>
      <c r="L86" s="1"/>
      <c r="N86" s="1"/>
      <c r="P86" s="1"/>
      <c r="R86" s="1"/>
      <c r="T86" s="1"/>
      <c r="U86" s="10">
        <v>202.149</v>
      </c>
      <c r="V86" s="10">
        <v>201.892</v>
      </c>
      <c r="X86" s="1"/>
    </row>
    <row r="87" spans="1:24" ht="15.75" customHeight="1" x14ac:dyDescent="0.3">
      <c r="A87" s="13">
        <v>84</v>
      </c>
      <c r="B87" s="21" t="s">
        <v>87</v>
      </c>
      <c r="C87" s="9">
        <v>62755</v>
      </c>
      <c r="D87" s="3">
        <f t="shared" si="2"/>
        <v>11643</v>
      </c>
      <c r="H87" s="2"/>
      <c r="J87" s="1"/>
      <c r="L87" s="1"/>
      <c r="N87" s="1"/>
      <c r="P87" s="1"/>
      <c r="R87" s="1"/>
      <c r="T87" s="1"/>
      <c r="U87" s="10">
        <v>11.643000000000001</v>
      </c>
      <c r="V87" s="10">
        <v>11.504</v>
      </c>
      <c r="X87" s="1"/>
    </row>
    <row r="88" spans="1:24" ht="15.75" customHeight="1" thickBot="1" x14ac:dyDescent="0.35">
      <c r="A88" s="14">
        <v>85</v>
      </c>
      <c r="B88" s="22" t="s">
        <v>88</v>
      </c>
      <c r="C88" s="23">
        <v>6136</v>
      </c>
      <c r="D88" s="24">
        <f t="shared" si="2"/>
        <v>73230</v>
      </c>
      <c r="H88" s="2"/>
      <c r="J88" s="1"/>
      <c r="L88" s="1"/>
      <c r="N88" s="1"/>
      <c r="P88" s="1"/>
      <c r="R88" s="1"/>
      <c r="T88" s="1"/>
      <c r="U88" s="10">
        <v>73.23</v>
      </c>
      <c r="V88" s="10">
        <v>94.953999999999994</v>
      </c>
      <c r="X88" s="1"/>
    </row>
    <row r="89" spans="1:24" ht="15.75" customHeight="1" x14ac:dyDescent="0.3">
      <c r="E89" s="1"/>
      <c r="H89" s="2"/>
      <c r="J89" s="1"/>
      <c r="L89" s="1"/>
      <c r="N89" s="1"/>
      <c r="P89" s="1"/>
      <c r="R89" s="1"/>
      <c r="T89" s="1"/>
      <c r="V89" s="1"/>
      <c r="X89" s="1"/>
    </row>
    <row r="90" spans="1:24" ht="15.75" customHeight="1" thickBot="1" x14ac:dyDescent="0.35">
      <c r="E90" s="1"/>
      <c r="H90" s="2"/>
      <c r="J90" s="1"/>
      <c r="L90" s="1"/>
      <c r="N90" s="1"/>
      <c r="P90" s="1"/>
      <c r="R90" s="1"/>
      <c r="T90" s="1"/>
      <c r="V90" s="1"/>
      <c r="X90" s="1"/>
    </row>
    <row r="91" spans="1:24" ht="15.75" customHeight="1" x14ac:dyDescent="0.3">
      <c r="B91" s="25" t="s">
        <v>2</v>
      </c>
      <c r="C91" s="104" t="s">
        <v>3</v>
      </c>
      <c r="D91" s="105"/>
      <c r="E91" s="1"/>
      <c r="H91" s="2"/>
      <c r="J91" s="1"/>
      <c r="L91" s="1"/>
      <c r="N91" s="1"/>
      <c r="P91" s="1"/>
      <c r="R91" s="1"/>
      <c r="T91" s="1"/>
      <c r="V91" s="1"/>
      <c r="X91" s="1"/>
    </row>
    <row r="92" spans="1:24" ht="15.75" customHeight="1" thickBot="1" x14ac:dyDescent="0.35">
      <c r="B92" s="26"/>
      <c r="C92" s="71"/>
      <c r="D92" s="72"/>
      <c r="E92" s="1"/>
      <c r="H92" s="2"/>
      <c r="J92" s="1"/>
      <c r="L92" s="1"/>
      <c r="N92" s="1"/>
      <c r="P92" s="1"/>
      <c r="R92" s="1"/>
      <c r="T92" s="1"/>
      <c r="V92" s="1"/>
      <c r="X92" s="1"/>
    </row>
    <row r="93" spans="1:24" ht="15.75" customHeight="1" x14ac:dyDescent="0.3">
      <c r="E93" s="1"/>
      <c r="H93" s="2"/>
      <c r="J93" s="1"/>
      <c r="L93" s="1"/>
      <c r="N93" s="1"/>
      <c r="P93" s="1"/>
      <c r="R93" s="1"/>
      <c r="T93" s="1"/>
      <c r="V93" s="1"/>
      <c r="X93" s="1"/>
    </row>
    <row r="94" spans="1:24" ht="15.75" customHeight="1" x14ac:dyDescent="0.3">
      <c r="E94" s="1"/>
      <c r="H94" s="2"/>
      <c r="J94" s="1"/>
      <c r="L94" s="1"/>
      <c r="N94" s="1"/>
      <c r="P94" s="1"/>
      <c r="R94" s="1"/>
      <c r="T94" s="1"/>
      <c r="V94" s="1"/>
      <c r="X94" s="1"/>
    </row>
    <row r="95" spans="1:24" ht="15.75" customHeight="1" x14ac:dyDescent="0.3">
      <c r="E95" s="1"/>
      <c r="H95" s="2"/>
      <c r="J95" s="1"/>
      <c r="L95" s="1"/>
      <c r="N95" s="1"/>
      <c r="P95" s="1"/>
      <c r="R95" s="1"/>
      <c r="T95" s="1"/>
      <c r="V95" s="1"/>
      <c r="X95" s="1"/>
    </row>
    <row r="96" spans="1:24" ht="15.75" customHeight="1" x14ac:dyDescent="0.3">
      <c r="E96" s="1"/>
      <c r="H96" s="2"/>
      <c r="J96" s="1"/>
      <c r="L96" s="1"/>
      <c r="N96" s="1"/>
      <c r="P96" s="1"/>
      <c r="R96" s="1"/>
      <c r="T96" s="1"/>
      <c r="V96" s="1"/>
      <c r="X96" s="1"/>
    </row>
    <row r="97" spans="5:24" ht="15.75" customHeight="1" x14ac:dyDescent="0.3">
      <c r="E97" s="1"/>
      <c r="H97" s="2"/>
      <c r="J97" s="1"/>
      <c r="L97" s="1"/>
      <c r="N97" s="1"/>
      <c r="P97" s="1"/>
      <c r="R97" s="1"/>
      <c r="T97" s="1"/>
      <c r="V97" s="1"/>
      <c r="X97" s="1"/>
    </row>
    <row r="98" spans="5:24" ht="15.75" customHeight="1" x14ac:dyDescent="0.3">
      <c r="E98" s="1"/>
      <c r="H98" s="2"/>
      <c r="J98" s="1"/>
      <c r="L98" s="1"/>
      <c r="N98" s="1"/>
      <c r="P98" s="1"/>
      <c r="R98" s="1"/>
      <c r="T98" s="1"/>
      <c r="V98" s="1"/>
      <c r="X98" s="1"/>
    </row>
    <row r="99" spans="5:24" ht="15.75" customHeight="1" x14ac:dyDescent="0.3">
      <c r="E99" s="1"/>
      <c r="H99" s="2"/>
      <c r="J99" s="1"/>
      <c r="L99" s="1"/>
      <c r="N99" s="1"/>
      <c r="P99" s="1"/>
      <c r="R99" s="1"/>
      <c r="T99" s="1"/>
      <c r="V99" s="1"/>
      <c r="X99" s="1"/>
    </row>
    <row r="100" spans="5:24" ht="15.75" customHeight="1" x14ac:dyDescent="0.3">
      <c r="E100" s="1"/>
      <c r="H100" s="2"/>
      <c r="J100" s="1"/>
      <c r="L100" s="1"/>
      <c r="N100" s="1"/>
      <c r="P100" s="1"/>
      <c r="R100" s="1"/>
      <c r="T100" s="1"/>
      <c r="V100" s="1"/>
      <c r="X100" s="1"/>
    </row>
    <row r="101" spans="5:24" ht="15.75" customHeight="1" x14ac:dyDescent="0.3">
      <c r="E101" s="1"/>
      <c r="H101" s="2"/>
      <c r="J101" s="1"/>
      <c r="L101" s="1"/>
      <c r="N101" s="1"/>
      <c r="P101" s="1"/>
      <c r="R101" s="1"/>
      <c r="T101" s="1"/>
      <c r="V101" s="1"/>
      <c r="X101" s="1"/>
    </row>
    <row r="102" spans="5:24" ht="15.75" customHeight="1" x14ac:dyDescent="0.3">
      <c r="E102" s="1"/>
      <c r="H102" s="2"/>
      <c r="J102" s="1"/>
      <c r="L102" s="1"/>
      <c r="N102" s="1"/>
      <c r="P102" s="1"/>
      <c r="R102" s="1"/>
      <c r="T102" s="1"/>
      <c r="V102" s="1"/>
      <c r="X102" s="1"/>
    </row>
    <row r="103" spans="5:24" ht="15.75" customHeight="1" x14ac:dyDescent="0.3">
      <c r="E103" s="1"/>
      <c r="H103" s="2"/>
      <c r="J103" s="1"/>
      <c r="L103" s="1"/>
      <c r="N103" s="1"/>
      <c r="P103" s="1"/>
      <c r="R103" s="1"/>
      <c r="T103" s="1"/>
      <c r="V103" s="1"/>
      <c r="X103" s="1"/>
    </row>
    <row r="104" spans="5:24" ht="15.75" customHeight="1" x14ac:dyDescent="0.3">
      <c r="E104" s="1"/>
      <c r="H104" s="2"/>
      <c r="J104" s="1"/>
      <c r="L104" s="1"/>
      <c r="N104" s="1"/>
      <c r="P104" s="1"/>
      <c r="R104" s="1"/>
      <c r="T104" s="1"/>
      <c r="V104" s="1"/>
      <c r="X104" s="1"/>
    </row>
    <row r="105" spans="5:24" ht="15.75" customHeight="1" x14ac:dyDescent="0.3">
      <c r="E105" s="1"/>
      <c r="H105" s="2"/>
      <c r="J105" s="1"/>
      <c r="L105" s="1"/>
      <c r="N105" s="1"/>
      <c r="P105" s="1"/>
      <c r="R105" s="1"/>
      <c r="T105" s="1"/>
      <c r="V105" s="1"/>
      <c r="X105" s="1"/>
    </row>
    <row r="106" spans="5:24" ht="15.75" customHeight="1" x14ac:dyDescent="0.3">
      <c r="E106" s="1"/>
      <c r="H106" s="2"/>
      <c r="J106" s="1"/>
      <c r="L106" s="1"/>
      <c r="N106" s="1"/>
      <c r="P106" s="1"/>
      <c r="R106" s="1"/>
      <c r="T106" s="1"/>
      <c r="V106" s="1"/>
      <c r="X106" s="1"/>
    </row>
    <row r="107" spans="5:24" ht="15.75" customHeight="1" x14ac:dyDescent="0.3">
      <c r="E107" s="1"/>
      <c r="H107" s="2"/>
      <c r="J107" s="1"/>
      <c r="L107" s="1"/>
      <c r="N107" s="1"/>
      <c r="P107" s="1"/>
      <c r="R107" s="1"/>
      <c r="T107" s="1"/>
      <c r="V107" s="1"/>
      <c r="X107" s="1"/>
    </row>
    <row r="108" spans="5:24" ht="15.75" customHeight="1" x14ac:dyDescent="0.3">
      <c r="E108" s="1"/>
      <c r="H108" s="2"/>
      <c r="J108" s="1"/>
      <c r="L108" s="1"/>
      <c r="N108" s="1"/>
      <c r="P108" s="1"/>
      <c r="R108" s="1"/>
      <c r="T108" s="1"/>
      <c r="V108" s="1"/>
      <c r="X108" s="1"/>
    </row>
    <row r="109" spans="5:24" ht="15.75" customHeight="1" x14ac:dyDescent="0.3">
      <c r="E109" s="1"/>
      <c r="H109" s="2"/>
      <c r="J109" s="1"/>
      <c r="L109" s="1"/>
      <c r="N109" s="1"/>
      <c r="P109" s="1"/>
      <c r="R109" s="1"/>
      <c r="T109" s="1"/>
      <c r="V109" s="1"/>
      <c r="X109" s="1"/>
    </row>
    <row r="110" spans="5:24" ht="15.75" customHeight="1" x14ac:dyDescent="0.3">
      <c r="E110" s="1"/>
      <c r="H110" s="2"/>
      <c r="J110" s="1"/>
      <c r="L110" s="1"/>
      <c r="N110" s="1"/>
      <c r="P110" s="1"/>
      <c r="R110" s="1"/>
      <c r="T110" s="1"/>
      <c r="V110" s="1"/>
      <c r="X110" s="1"/>
    </row>
    <row r="111" spans="5:24" ht="15.75" customHeight="1" x14ac:dyDescent="0.3">
      <c r="E111" s="1"/>
      <c r="H111" s="2"/>
      <c r="J111" s="1"/>
      <c r="L111" s="1"/>
      <c r="N111" s="1"/>
      <c r="P111" s="1"/>
      <c r="R111" s="1"/>
      <c r="T111" s="1"/>
      <c r="V111" s="1"/>
      <c r="X111" s="1"/>
    </row>
    <row r="112" spans="5:24" ht="15.75" customHeight="1" x14ac:dyDescent="0.3">
      <c r="E112" s="1"/>
      <c r="H112" s="2"/>
      <c r="J112" s="1"/>
      <c r="L112" s="1"/>
      <c r="N112" s="1"/>
      <c r="P112" s="1"/>
      <c r="R112" s="1"/>
      <c r="T112" s="1"/>
      <c r="V112" s="1"/>
      <c r="X112" s="1"/>
    </row>
    <row r="113" spans="5:24" ht="15.75" customHeight="1" x14ac:dyDescent="0.3">
      <c r="E113" s="1"/>
      <c r="H113" s="2"/>
      <c r="J113" s="1"/>
      <c r="L113" s="1"/>
      <c r="N113" s="1"/>
      <c r="P113" s="1"/>
      <c r="R113" s="1"/>
      <c r="T113" s="1"/>
      <c r="V113" s="1"/>
      <c r="X113" s="1"/>
    </row>
    <row r="114" spans="5:24" ht="15.75" customHeight="1" x14ac:dyDescent="0.3">
      <c r="E114" s="1"/>
      <c r="H114" s="2"/>
      <c r="J114" s="1"/>
      <c r="L114" s="1"/>
      <c r="N114" s="1"/>
      <c r="P114" s="1"/>
      <c r="R114" s="1"/>
      <c r="T114" s="1"/>
      <c r="V114" s="1"/>
      <c r="X114" s="1"/>
    </row>
    <row r="115" spans="5:24" ht="15.75" customHeight="1" x14ac:dyDescent="0.3">
      <c r="E115" s="1"/>
      <c r="H115" s="2"/>
      <c r="J115" s="1"/>
      <c r="L115" s="1"/>
      <c r="N115" s="1"/>
      <c r="P115" s="1"/>
      <c r="R115" s="1"/>
      <c r="T115" s="1"/>
      <c r="V115" s="1"/>
      <c r="X115" s="1"/>
    </row>
    <row r="116" spans="5:24" ht="15.75" customHeight="1" x14ac:dyDescent="0.3">
      <c r="E116" s="1"/>
      <c r="H116" s="2"/>
      <c r="J116" s="1"/>
      <c r="L116" s="1"/>
      <c r="N116" s="1"/>
      <c r="P116" s="1"/>
      <c r="R116" s="1"/>
      <c r="T116" s="1"/>
      <c r="V116" s="1"/>
      <c r="X116" s="1"/>
    </row>
    <row r="117" spans="5:24" ht="15.75" customHeight="1" x14ac:dyDescent="0.3">
      <c r="E117" s="1"/>
      <c r="H117" s="2"/>
      <c r="J117" s="1"/>
      <c r="L117" s="1"/>
      <c r="N117" s="1"/>
      <c r="P117" s="1"/>
      <c r="R117" s="1"/>
      <c r="T117" s="1"/>
      <c r="V117" s="1"/>
      <c r="X117" s="1"/>
    </row>
    <row r="118" spans="5:24" ht="15.75" customHeight="1" x14ac:dyDescent="0.3">
      <c r="E118" s="1"/>
      <c r="H118" s="2"/>
      <c r="J118" s="1"/>
      <c r="L118" s="1"/>
      <c r="N118" s="1"/>
      <c r="P118" s="1"/>
      <c r="R118" s="1"/>
      <c r="T118" s="1"/>
      <c r="V118" s="1"/>
      <c r="X118" s="1"/>
    </row>
    <row r="119" spans="5:24" ht="15.75" customHeight="1" x14ac:dyDescent="0.3">
      <c r="E119" s="1"/>
      <c r="H119" s="2"/>
      <c r="J119" s="1"/>
      <c r="L119" s="1"/>
      <c r="N119" s="1"/>
      <c r="P119" s="1"/>
      <c r="R119" s="1"/>
      <c r="T119" s="1"/>
      <c r="V119" s="1"/>
      <c r="X119" s="1"/>
    </row>
    <row r="120" spans="5:24" ht="15.75" customHeight="1" x14ac:dyDescent="0.3">
      <c r="E120" s="1"/>
      <c r="H120" s="2"/>
      <c r="J120" s="1"/>
      <c r="L120" s="1"/>
      <c r="N120" s="1"/>
      <c r="P120" s="1"/>
      <c r="R120" s="1"/>
      <c r="T120" s="1"/>
      <c r="V120" s="1"/>
      <c r="X120" s="1"/>
    </row>
    <row r="121" spans="5:24" ht="15.75" customHeight="1" x14ac:dyDescent="0.3">
      <c r="E121" s="1"/>
      <c r="H121" s="2"/>
      <c r="J121" s="1"/>
      <c r="L121" s="1"/>
      <c r="N121" s="1"/>
      <c r="P121" s="1"/>
      <c r="R121" s="1"/>
      <c r="T121" s="1"/>
      <c r="V121" s="1"/>
      <c r="X121" s="1"/>
    </row>
    <row r="122" spans="5:24" ht="15.75" customHeight="1" x14ac:dyDescent="0.3">
      <c r="E122" s="1"/>
      <c r="H122" s="2"/>
      <c r="J122" s="1"/>
      <c r="L122" s="1"/>
      <c r="N122" s="1"/>
      <c r="P122" s="1"/>
      <c r="R122" s="1"/>
      <c r="T122" s="1"/>
      <c r="V122" s="1"/>
      <c r="X122" s="1"/>
    </row>
    <row r="123" spans="5:24" ht="15.75" customHeight="1" x14ac:dyDescent="0.3">
      <c r="E123" s="1"/>
      <c r="H123" s="2"/>
      <c r="J123" s="1"/>
      <c r="L123" s="1"/>
      <c r="N123" s="1"/>
      <c r="P123" s="1"/>
      <c r="R123" s="1"/>
      <c r="T123" s="1"/>
      <c r="V123" s="1"/>
      <c r="X123" s="1"/>
    </row>
    <row r="124" spans="5:24" ht="15.75" customHeight="1" x14ac:dyDescent="0.3">
      <c r="E124" s="1"/>
      <c r="H124" s="2"/>
      <c r="J124" s="1"/>
      <c r="L124" s="1"/>
      <c r="N124" s="1"/>
      <c r="P124" s="1"/>
      <c r="R124" s="1"/>
      <c r="T124" s="1"/>
      <c r="V124" s="1"/>
      <c r="X124" s="1"/>
    </row>
    <row r="125" spans="5:24" ht="15.75" customHeight="1" x14ac:dyDescent="0.3">
      <c r="E125" s="1"/>
      <c r="H125" s="2"/>
      <c r="J125" s="1"/>
      <c r="L125" s="1"/>
      <c r="N125" s="1"/>
      <c r="P125" s="1"/>
      <c r="R125" s="1"/>
      <c r="T125" s="1"/>
      <c r="V125" s="1"/>
      <c r="X125" s="1"/>
    </row>
    <row r="126" spans="5:24" ht="15.75" customHeight="1" x14ac:dyDescent="0.3">
      <c r="E126" s="1"/>
      <c r="H126" s="2"/>
      <c r="J126" s="1"/>
      <c r="L126" s="1"/>
      <c r="N126" s="1"/>
      <c r="P126" s="1"/>
      <c r="R126" s="1"/>
      <c r="T126" s="1"/>
      <c r="V126" s="1"/>
      <c r="X126" s="1"/>
    </row>
    <row r="127" spans="5:24" ht="15.75" customHeight="1" x14ac:dyDescent="0.3">
      <c r="E127" s="1"/>
      <c r="H127" s="2"/>
      <c r="J127" s="1"/>
      <c r="L127" s="1"/>
      <c r="N127" s="1"/>
      <c r="P127" s="1"/>
      <c r="R127" s="1"/>
      <c r="T127" s="1"/>
      <c r="V127" s="1"/>
      <c r="X127" s="1"/>
    </row>
    <row r="128" spans="5:24" ht="15.75" customHeight="1" x14ac:dyDescent="0.3">
      <c r="E128" s="1"/>
      <c r="H128" s="2"/>
      <c r="J128" s="1"/>
      <c r="L128" s="1"/>
      <c r="N128" s="1"/>
      <c r="P128" s="1"/>
      <c r="R128" s="1"/>
      <c r="T128" s="1"/>
      <c r="V128" s="1"/>
      <c r="X128" s="1"/>
    </row>
    <row r="129" spans="5:24" ht="15.75" customHeight="1" x14ac:dyDescent="0.3">
      <c r="E129" s="1"/>
      <c r="H129" s="2"/>
      <c r="J129" s="1"/>
      <c r="L129" s="1"/>
      <c r="N129" s="1"/>
      <c r="P129" s="1"/>
      <c r="R129" s="1"/>
      <c r="T129" s="1"/>
      <c r="V129" s="1"/>
      <c r="X129" s="1"/>
    </row>
    <row r="130" spans="5:24" ht="15.75" customHeight="1" x14ac:dyDescent="0.3">
      <c r="E130" s="1"/>
      <c r="H130" s="2"/>
      <c r="J130" s="1"/>
      <c r="L130" s="1"/>
      <c r="N130" s="1"/>
      <c r="P130" s="1"/>
      <c r="R130" s="1"/>
      <c r="T130" s="1"/>
      <c r="V130" s="1"/>
      <c r="X130" s="1"/>
    </row>
    <row r="131" spans="5:24" ht="15.75" customHeight="1" x14ac:dyDescent="0.3">
      <c r="E131" s="1"/>
      <c r="H131" s="2"/>
      <c r="J131" s="1"/>
      <c r="L131" s="1"/>
      <c r="N131" s="1"/>
      <c r="P131" s="1"/>
      <c r="R131" s="1"/>
      <c r="T131" s="1"/>
      <c r="V131" s="1"/>
      <c r="X131" s="1"/>
    </row>
    <row r="132" spans="5:24" ht="15.75" customHeight="1" x14ac:dyDescent="0.3">
      <c r="E132" s="1"/>
      <c r="H132" s="2"/>
      <c r="J132" s="1"/>
      <c r="L132" s="1"/>
      <c r="N132" s="1"/>
      <c r="P132" s="1"/>
      <c r="R132" s="1"/>
      <c r="T132" s="1"/>
      <c r="V132" s="1"/>
      <c r="X132" s="1"/>
    </row>
    <row r="133" spans="5:24" ht="15.75" customHeight="1" x14ac:dyDescent="0.3">
      <c r="E133" s="1"/>
      <c r="H133" s="2"/>
      <c r="J133" s="1"/>
      <c r="L133" s="1"/>
      <c r="N133" s="1"/>
      <c r="P133" s="1"/>
      <c r="R133" s="1"/>
      <c r="T133" s="1"/>
      <c r="V133" s="1"/>
      <c r="X133" s="1"/>
    </row>
    <row r="134" spans="5:24" ht="15.75" customHeight="1" x14ac:dyDescent="0.3">
      <c r="E134" s="1"/>
      <c r="H134" s="2"/>
      <c r="J134" s="1"/>
      <c r="L134" s="1"/>
      <c r="N134" s="1"/>
      <c r="P134" s="1"/>
      <c r="R134" s="1"/>
      <c r="T134" s="1"/>
      <c r="V134" s="1"/>
      <c r="X134" s="1"/>
    </row>
    <row r="135" spans="5:24" ht="15.75" customHeight="1" x14ac:dyDescent="0.3">
      <c r="E135" s="1"/>
      <c r="H135" s="2"/>
      <c r="J135" s="1"/>
      <c r="L135" s="1"/>
      <c r="N135" s="1"/>
      <c r="P135" s="1"/>
      <c r="R135" s="1"/>
      <c r="T135" s="1"/>
      <c r="V135" s="1"/>
      <c r="X135" s="1"/>
    </row>
    <row r="136" spans="5:24" ht="15.75" customHeight="1" x14ac:dyDescent="0.3">
      <c r="E136" s="1"/>
      <c r="H136" s="2"/>
      <c r="J136" s="1"/>
      <c r="L136" s="1"/>
      <c r="N136" s="1"/>
      <c r="P136" s="1"/>
      <c r="R136" s="1"/>
      <c r="T136" s="1"/>
      <c r="V136" s="1"/>
      <c r="X136" s="1"/>
    </row>
    <row r="137" spans="5:24" ht="15.75" customHeight="1" x14ac:dyDescent="0.3">
      <c r="E137" s="1"/>
      <c r="H137" s="2"/>
      <c r="J137" s="1"/>
      <c r="L137" s="1"/>
      <c r="N137" s="1"/>
      <c r="P137" s="1"/>
      <c r="R137" s="1"/>
      <c r="T137" s="1"/>
      <c r="V137" s="1"/>
      <c r="X137" s="1"/>
    </row>
    <row r="138" spans="5:24" ht="15.75" customHeight="1" x14ac:dyDescent="0.3">
      <c r="E138" s="1"/>
      <c r="H138" s="2"/>
      <c r="J138" s="1"/>
      <c r="L138" s="1"/>
      <c r="N138" s="1"/>
      <c r="P138" s="1"/>
      <c r="R138" s="1"/>
      <c r="T138" s="1"/>
      <c r="V138" s="1"/>
      <c r="X138" s="1"/>
    </row>
    <row r="139" spans="5:24" ht="15.75" customHeight="1" x14ac:dyDescent="0.3">
      <c r="E139" s="1"/>
      <c r="H139" s="2"/>
      <c r="J139" s="1"/>
      <c r="L139" s="1"/>
      <c r="N139" s="1"/>
      <c r="P139" s="1"/>
      <c r="R139" s="1"/>
      <c r="T139" s="1"/>
      <c r="V139" s="1"/>
      <c r="X139" s="1"/>
    </row>
    <row r="140" spans="5:24" ht="15.75" customHeight="1" x14ac:dyDescent="0.3">
      <c r="E140" s="1"/>
      <c r="H140" s="2"/>
      <c r="J140" s="1"/>
      <c r="L140" s="1"/>
      <c r="N140" s="1"/>
      <c r="P140" s="1"/>
      <c r="R140" s="1"/>
      <c r="T140" s="1"/>
      <c r="V140" s="1"/>
      <c r="X140" s="1"/>
    </row>
    <row r="141" spans="5:24" ht="15.75" customHeight="1" x14ac:dyDescent="0.3">
      <c r="E141" s="1"/>
      <c r="H141" s="2"/>
      <c r="J141" s="1"/>
      <c r="L141" s="1"/>
      <c r="N141" s="1"/>
      <c r="P141" s="1"/>
      <c r="R141" s="1"/>
      <c r="T141" s="1"/>
      <c r="V141" s="1"/>
      <c r="X141" s="1"/>
    </row>
    <row r="142" spans="5:24" ht="15.75" customHeight="1" x14ac:dyDescent="0.3">
      <c r="E142" s="1"/>
      <c r="H142" s="2"/>
      <c r="J142" s="1"/>
      <c r="L142" s="1"/>
      <c r="N142" s="1"/>
      <c r="P142" s="1"/>
      <c r="R142" s="1"/>
      <c r="T142" s="1"/>
      <c r="V142" s="1"/>
      <c r="X142" s="1"/>
    </row>
    <row r="143" spans="5:24" ht="15.75" customHeight="1" x14ac:dyDescent="0.3">
      <c r="E143" s="1"/>
      <c r="H143" s="2"/>
      <c r="J143" s="1"/>
      <c r="L143" s="1"/>
      <c r="N143" s="1"/>
      <c r="P143" s="1"/>
      <c r="R143" s="1"/>
      <c r="T143" s="1"/>
      <c r="V143" s="1"/>
      <c r="X143" s="1"/>
    </row>
    <row r="144" spans="5:24" ht="15.75" customHeight="1" x14ac:dyDescent="0.3">
      <c r="E144" s="1"/>
      <c r="H144" s="2"/>
      <c r="J144" s="1"/>
      <c r="L144" s="1"/>
      <c r="N144" s="1"/>
      <c r="P144" s="1"/>
      <c r="R144" s="1"/>
      <c r="T144" s="1"/>
      <c r="V144" s="1"/>
      <c r="X144" s="1"/>
    </row>
    <row r="145" spans="5:24" ht="15.75" customHeight="1" x14ac:dyDescent="0.3">
      <c r="E145" s="1"/>
      <c r="H145" s="2"/>
      <c r="J145" s="1"/>
      <c r="L145" s="1"/>
      <c r="N145" s="1"/>
      <c r="P145" s="1"/>
      <c r="R145" s="1"/>
      <c r="T145" s="1"/>
      <c r="V145" s="1"/>
      <c r="X145" s="1"/>
    </row>
    <row r="146" spans="5:24" ht="15.75" customHeight="1" x14ac:dyDescent="0.3">
      <c r="E146" s="1"/>
      <c r="H146" s="2"/>
      <c r="J146" s="1"/>
      <c r="L146" s="1"/>
      <c r="N146" s="1"/>
      <c r="P146" s="1"/>
      <c r="R146" s="1"/>
      <c r="T146" s="1"/>
      <c r="V146" s="1"/>
      <c r="X146" s="1"/>
    </row>
    <row r="147" spans="5:24" ht="15.75" customHeight="1" x14ac:dyDescent="0.3">
      <c r="E147" s="1"/>
      <c r="H147" s="2"/>
      <c r="J147" s="1"/>
      <c r="L147" s="1"/>
      <c r="N147" s="1"/>
      <c r="P147" s="1"/>
      <c r="R147" s="1"/>
      <c r="T147" s="1"/>
      <c r="V147" s="1"/>
      <c r="X147" s="1"/>
    </row>
    <row r="148" spans="5:24" ht="15.75" customHeight="1" x14ac:dyDescent="0.3">
      <c r="E148" s="1"/>
      <c r="H148" s="2"/>
      <c r="J148" s="1"/>
      <c r="L148" s="1"/>
      <c r="N148" s="1"/>
      <c r="P148" s="1"/>
      <c r="R148" s="1"/>
      <c r="T148" s="1"/>
      <c r="V148" s="1"/>
      <c r="X148" s="1"/>
    </row>
    <row r="149" spans="5:24" ht="15.75" customHeight="1" x14ac:dyDescent="0.3">
      <c r="E149" s="1"/>
      <c r="H149" s="2"/>
      <c r="J149" s="1"/>
      <c r="L149" s="1"/>
      <c r="N149" s="1"/>
      <c r="P149" s="1"/>
      <c r="R149" s="1"/>
      <c r="T149" s="1"/>
      <c r="V149" s="1"/>
      <c r="X149" s="1"/>
    </row>
    <row r="150" spans="5:24" ht="15.75" customHeight="1" x14ac:dyDescent="0.3">
      <c r="E150" s="1"/>
      <c r="H150" s="2"/>
      <c r="J150" s="1"/>
      <c r="L150" s="1"/>
      <c r="N150" s="1"/>
      <c r="P150" s="1"/>
      <c r="R150" s="1"/>
      <c r="T150" s="1"/>
      <c r="V150" s="1"/>
      <c r="X150" s="1"/>
    </row>
    <row r="151" spans="5:24" ht="15.75" customHeight="1" x14ac:dyDescent="0.3">
      <c r="E151" s="1"/>
      <c r="H151" s="2"/>
      <c r="J151" s="1"/>
      <c r="L151" s="1"/>
      <c r="N151" s="1"/>
      <c r="P151" s="1"/>
      <c r="R151" s="1"/>
      <c r="T151" s="1"/>
      <c r="V151" s="1"/>
      <c r="X151" s="1"/>
    </row>
    <row r="152" spans="5:24" ht="15.75" customHeight="1" x14ac:dyDescent="0.3">
      <c r="E152" s="1"/>
      <c r="H152" s="2"/>
      <c r="J152" s="1"/>
      <c r="L152" s="1"/>
      <c r="N152" s="1"/>
      <c r="P152" s="1"/>
      <c r="R152" s="1"/>
      <c r="T152" s="1"/>
      <c r="V152" s="1"/>
      <c r="X152" s="1"/>
    </row>
    <row r="153" spans="5:24" ht="15.75" customHeight="1" x14ac:dyDescent="0.3">
      <c r="E153" s="1"/>
      <c r="H153" s="2"/>
      <c r="J153" s="1"/>
      <c r="L153" s="1"/>
      <c r="N153" s="1"/>
      <c r="P153" s="1"/>
      <c r="R153" s="1"/>
      <c r="T153" s="1"/>
      <c r="V153" s="1"/>
      <c r="X153" s="1"/>
    </row>
    <row r="154" spans="5:24" ht="15.75" customHeight="1" x14ac:dyDescent="0.3">
      <c r="E154" s="1"/>
      <c r="H154" s="2"/>
      <c r="J154" s="1"/>
      <c r="L154" s="1"/>
      <c r="N154" s="1"/>
      <c r="P154" s="1"/>
      <c r="R154" s="1"/>
      <c r="T154" s="1"/>
      <c r="V154" s="1"/>
      <c r="X154" s="1"/>
    </row>
    <row r="155" spans="5:24" ht="15.75" customHeight="1" x14ac:dyDescent="0.3">
      <c r="E155" s="1"/>
      <c r="H155" s="2"/>
      <c r="J155" s="1"/>
      <c r="L155" s="1"/>
      <c r="N155" s="1"/>
      <c r="P155" s="1"/>
      <c r="R155" s="1"/>
      <c r="T155" s="1"/>
      <c r="V155" s="1"/>
      <c r="X155" s="1"/>
    </row>
    <row r="156" spans="5:24" ht="15.75" customHeight="1" x14ac:dyDescent="0.3">
      <c r="E156" s="1"/>
      <c r="H156" s="2"/>
      <c r="J156" s="1"/>
      <c r="L156" s="1"/>
      <c r="N156" s="1"/>
      <c r="P156" s="1"/>
      <c r="R156" s="1"/>
      <c r="T156" s="1"/>
      <c r="V156" s="1"/>
      <c r="X156" s="1"/>
    </row>
    <row r="157" spans="5:24" ht="15.75" customHeight="1" x14ac:dyDescent="0.3">
      <c r="E157" s="1"/>
      <c r="H157" s="2"/>
      <c r="J157" s="1"/>
      <c r="L157" s="1"/>
      <c r="N157" s="1"/>
      <c r="P157" s="1"/>
      <c r="R157" s="1"/>
      <c r="T157" s="1"/>
      <c r="V157" s="1"/>
      <c r="X157" s="1"/>
    </row>
    <row r="158" spans="5:24" ht="15.75" customHeight="1" x14ac:dyDescent="0.3">
      <c r="E158" s="1"/>
      <c r="H158" s="2"/>
      <c r="J158" s="1"/>
      <c r="L158" s="1"/>
      <c r="N158" s="1"/>
      <c r="P158" s="1"/>
      <c r="R158" s="1"/>
      <c r="T158" s="1"/>
      <c r="V158" s="1"/>
      <c r="X158" s="1"/>
    </row>
    <row r="159" spans="5:24" ht="15.75" customHeight="1" x14ac:dyDescent="0.3">
      <c r="E159" s="1"/>
      <c r="H159" s="2"/>
      <c r="J159" s="1"/>
      <c r="L159" s="1"/>
      <c r="N159" s="1"/>
      <c r="P159" s="1"/>
      <c r="R159" s="1"/>
      <c r="T159" s="1"/>
      <c r="V159" s="1"/>
      <c r="X159" s="1"/>
    </row>
    <row r="160" spans="5:24" ht="15.75" customHeight="1" x14ac:dyDescent="0.3">
      <c r="E160" s="1"/>
      <c r="H160" s="2"/>
      <c r="J160" s="1"/>
      <c r="L160" s="1"/>
      <c r="N160" s="1"/>
      <c r="P160" s="1"/>
      <c r="R160" s="1"/>
      <c r="T160" s="1"/>
      <c r="V160" s="1"/>
      <c r="X160" s="1"/>
    </row>
    <row r="161" spans="5:24" ht="15.75" customHeight="1" x14ac:dyDescent="0.3">
      <c r="E161" s="1"/>
      <c r="H161" s="2"/>
      <c r="J161" s="1"/>
      <c r="L161" s="1"/>
      <c r="N161" s="1"/>
      <c r="P161" s="1"/>
      <c r="R161" s="1"/>
      <c r="T161" s="1"/>
      <c r="V161" s="1"/>
      <c r="X161" s="1"/>
    </row>
    <row r="162" spans="5:24" ht="15.75" customHeight="1" x14ac:dyDescent="0.3">
      <c r="E162" s="1"/>
      <c r="H162" s="2"/>
      <c r="J162" s="1"/>
      <c r="L162" s="1"/>
      <c r="N162" s="1"/>
      <c r="P162" s="1"/>
      <c r="R162" s="1"/>
      <c r="T162" s="1"/>
      <c r="V162" s="1"/>
      <c r="X162" s="1"/>
    </row>
    <row r="163" spans="5:24" ht="15.75" customHeight="1" x14ac:dyDescent="0.3">
      <c r="E163" s="1"/>
      <c r="H163" s="2"/>
      <c r="J163" s="1"/>
      <c r="L163" s="1"/>
      <c r="N163" s="1"/>
      <c r="P163" s="1"/>
      <c r="R163" s="1"/>
      <c r="T163" s="1"/>
      <c r="V163" s="1"/>
      <c r="X163" s="1"/>
    </row>
    <row r="164" spans="5:24" ht="15.75" customHeight="1" x14ac:dyDescent="0.3">
      <c r="E164" s="1"/>
      <c r="H164" s="2"/>
      <c r="J164" s="1"/>
      <c r="L164" s="1"/>
      <c r="N164" s="1"/>
      <c r="P164" s="1"/>
      <c r="R164" s="1"/>
      <c r="T164" s="1"/>
      <c r="V164" s="1"/>
      <c r="X164" s="1"/>
    </row>
    <row r="165" spans="5:24" ht="15.75" customHeight="1" x14ac:dyDescent="0.3">
      <c r="E165" s="1"/>
      <c r="H165" s="2"/>
      <c r="J165" s="1"/>
      <c r="L165" s="1"/>
      <c r="N165" s="1"/>
      <c r="P165" s="1"/>
      <c r="R165" s="1"/>
      <c r="T165" s="1"/>
      <c r="V165" s="1"/>
      <c r="X165" s="1"/>
    </row>
    <row r="166" spans="5:24" ht="15.75" customHeight="1" x14ac:dyDescent="0.3">
      <c r="E166" s="1"/>
      <c r="H166" s="2"/>
      <c r="J166" s="1"/>
      <c r="L166" s="1"/>
      <c r="N166" s="1"/>
      <c r="P166" s="1"/>
      <c r="R166" s="1"/>
      <c r="T166" s="1"/>
      <c r="V166" s="1"/>
      <c r="X166" s="1"/>
    </row>
    <row r="167" spans="5:24" ht="15.75" customHeight="1" x14ac:dyDescent="0.3">
      <c r="E167" s="1"/>
      <c r="H167" s="2"/>
      <c r="J167" s="1"/>
      <c r="L167" s="1"/>
      <c r="N167" s="1"/>
      <c r="P167" s="1"/>
      <c r="R167" s="1"/>
      <c r="T167" s="1"/>
      <c r="V167" s="1"/>
      <c r="X167" s="1"/>
    </row>
    <row r="168" spans="5:24" ht="15.75" customHeight="1" x14ac:dyDescent="0.3">
      <c r="E168" s="1"/>
      <c r="H168" s="2"/>
      <c r="J168" s="1"/>
      <c r="L168" s="1"/>
      <c r="N168" s="1"/>
      <c r="P168" s="1"/>
      <c r="R168" s="1"/>
      <c r="T168" s="1"/>
      <c r="V168" s="1"/>
      <c r="X168" s="1"/>
    </row>
    <row r="169" spans="5:24" ht="15.75" customHeight="1" x14ac:dyDescent="0.3">
      <c r="E169" s="1"/>
      <c r="H169" s="2"/>
      <c r="J169" s="1"/>
      <c r="L169" s="1"/>
      <c r="N169" s="1"/>
      <c r="P169" s="1"/>
      <c r="R169" s="1"/>
      <c r="T169" s="1"/>
      <c r="V169" s="1"/>
      <c r="X169" s="1"/>
    </row>
    <row r="170" spans="5:24" ht="15.75" customHeight="1" x14ac:dyDescent="0.3">
      <c r="E170" s="1"/>
      <c r="H170" s="2"/>
      <c r="J170" s="1"/>
      <c r="L170" s="1"/>
      <c r="N170" s="1"/>
      <c r="P170" s="1"/>
      <c r="R170" s="1"/>
      <c r="T170" s="1"/>
      <c r="V170" s="1"/>
      <c r="X170" s="1"/>
    </row>
    <row r="171" spans="5:24" ht="15.75" customHeight="1" x14ac:dyDescent="0.3">
      <c r="E171" s="1"/>
      <c r="H171" s="2"/>
      <c r="J171" s="1"/>
      <c r="L171" s="1"/>
      <c r="N171" s="1"/>
      <c r="P171" s="1"/>
      <c r="R171" s="1"/>
      <c r="T171" s="1"/>
      <c r="V171" s="1"/>
      <c r="X171" s="1"/>
    </row>
    <row r="172" spans="5:24" ht="15.75" customHeight="1" x14ac:dyDescent="0.3">
      <c r="E172" s="1"/>
      <c r="H172" s="2"/>
      <c r="J172" s="1"/>
      <c r="L172" s="1"/>
      <c r="N172" s="1"/>
      <c r="P172" s="1"/>
      <c r="R172" s="1"/>
      <c r="T172" s="1"/>
      <c r="V172" s="1"/>
      <c r="X172" s="1"/>
    </row>
    <row r="173" spans="5:24" ht="15.75" customHeight="1" x14ac:dyDescent="0.3">
      <c r="E173" s="1"/>
      <c r="H173" s="2"/>
      <c r="J173" s="1"/>
      <c r="L173" s="1"/>
      <c r="N173" s="1"/>
      <c r="P173" s="1"/>
      <c r="R173" s="1"/>
      <c r="T173" s="1"/>
      <c r="V173" s="1"/>
      <c r="X173" s="1"/>
    </row>
    <row r="174" spans="5:24" ht="15.75" customHeight="1" x14ac:dyDescent="0.3">
      <c r="E174" s="1"/>
      <c r="H174" s="2"/>
      <c r="J174" s="1"/>
      <c r="L174" s="1"/>
      <c r="N174" s="1"/>
      <c r="P174" s="1"/>
      <c r="R174" s="1"/>
      <c r="T174" s="1"/>
      <c r="V174" s="1"/>
      <c r="X174" s="1"/>
    </row>
    <row r="175" spans="5:24" ht="15.75" customHeight="1" x14ac:dyDescent="0.3">
      <c r="E175" s="1"/>
      <c r="H175" s="2"/>
      <c r="J175" s="1"/>
      <c r="L175" s="1"/>
      <c r="N175" s="1"/>
      <c r="P175" s="1"/>
      <c r="R175" s="1"/>
      <c r="T175" s="1"/>
      <c r="V175" s="1"/>
      <c r="X175" s="1"/>
    </row>
    <row r="176" spans="5:24" ht="15.75" customHeight="1" x14ac:dyDescent="0.3">
      <c r="E176" s="1"/>
      <c r="H176" s="2"/>
      <c r="J176" s="1"/>
      <c r="L176" s="1"/>
      <c r="N176" s="1"/>
      <c r="P176" s="1"/>
      <c r="R176" s="1"/>
      <c r="T176" s="1"/>
      <c r="V176" s="1"/>
      <c r="X176" s="1"/>
    </row>
    <row r="177" spans="5:24" ht="15.75" customHeight="1" x14ac:dyDescent="0.3">
      <c r="E177" s="1"/>
      <c r="H177" s="2"/>
      <c r="J177" s="1"/>
      <c r="L177" s="1"/>
      <c r="N177" s="1"/>
      <c r="P177" s="1"/>
      <c r="R177" s="1"/>
      <c r="T177" s="1"/>
      <c r="V177" s="1"/>
      <c r="X177" s="1"/>
    </row>
    <row r="178" spans="5:24" ht="15.75" customHeight="1" x14ac:dyDescent="0.3">
      <c r="E178" s="1"/>
      <c r="H178" s="2"/>
      <c r="J178" s="1"/>
      <c r="L178" s="1"/>
      <c r="N178" s="1"/>
      <c r="P178" s="1"/>
      <c r="R178" s="1"/>
      <c r="T178" s="1"/>
      <c r="V178" s="1"/>
      <c r="X178" s="1"/>
    </row>
    <row r="179" spans="5:24" ht="15.75" customHeight="1" x14ac:dyDescent="0.3">
      <c r="E179" s="1"/>
      <c r="H179" s="2"/>
      <c r="J179" s="1"/>
      <c r="L179" s="1"/>
      <c r="N179" s="1"/>
      <c r="P179" s="1"/>
      <c r="R179" s="1"/>
      <c r="T179" s="1"/>
      <c r="V179" s="1"/>
      <c r="X179" s="1"/>
    </row>
    <row r="180" spans="5:24" ht="15.75" customHeight="1" x14ac:dyDescent="0.3">
      <c r="E180" s="1"/>
      <c r="H180" s="2"/>
      <c r="J180" s="1"/>
      <c r="L180" s="1"/>
      <c r="N180" s="1"/>
      <c r="P180" s="1"/>
      <c r="R180" s="1"/>
      <c r="T180" s="1"/>
      <c r="V180" s="1"/>
      <c r="X180" s="1"/>
    </row>
    <row r="181" spans="5:24" ht="15.75" customHeight="1" x14ac:dyDescent="0.3">
      <c r="E181" s="1"/>
      <c r="H181" s="2"/>
      <c r="J181" s="1"/>
      <c r="L181" s="1"/>
      <c r="N181" s="1"/>
      <c r="P181" s="1"/>
      <c r="R181" s="1"/>
      <c r="T181" s="1"/>
      <c r="V181" s="1"/>
      <c r="X181" s="1"/>
    </row>
    <row r="182" spans="5:24" ht="15.75" customHeight="1" x14ac:dyDescent="0.3">
      <c r="E182" s="1"/>
      <c r="H182" s="2"/>
      <c r="J182" s="1"/>
      <c r="L182" s="1"/>
      <c r="N182" s="1"/>
      <c r="P182" s="1"/>
      <c r="R182" s="1"/>
      <c r="T182" s="1"/>
      <c r="V182" s="1"/>
      <c r="X182" s="1"/>
    </row>
    <row r="183" spans="5:24" ht="15.75" customHeight="1" x14ac:dyDescent="0.3">
      <c r="E183" s="1"/>
      <c r="H183" s="2"/>
      <c r="J183" s="1"/>
      <c r="L183" s="1"/>
      <c r="N183" s="1"/>
      <c r="P183" s="1"/>
      <c r="R183" s="1"/>
      <c r="T183" s="1"/>
      <c r="V183" s="1"/>
      <c r="X183" s="1"/>
    </row>
    <row r="184" spans="5:24" ht="15.75" customHeight="1" x14ac:dyDescent="0.3">
      <c r="E184" s="1"/>
      <c r="H184" s="2"/>
      <c r="J184" s="1"/>
      <c r="L184" s="1"/>
      <c r="N184" s="1"/>
      <c r="P184" s="1"/>
      <c r="R184" s="1"/>
      <c r="T184" s="1"/>
      <c r="V184" s="1"/>
      <c r="X184" s="1"/>
    </row>
    <row r="185" spans="5:24" ht="15.75" customHeight="1" x14ac:dyDescent="0.3">
      <c r="E185" s="1"/>
      <c r="H185" s="2"/>
      <c r="J185" s="1"/>
      <c r="L185" s="1"/>
      <c r="N185" s="1"/>
      <c r="P185" s="1"/>
      <c r="R185" s="1"/>
      <c r="T185" s="1"/>
      <c r="V185" s="1"/>
      <c r="X185" s="1"/>
    </row>
    <row r="186" spans="5:24" ht="15.75" customHeight="1" x14ac:dyDescent="0.3">
      <c r="E186" s="1"/>
      <c r="H186" s="2"/>
      <c r="J186" s="1"/>
      <c r="L186" s="1"/>
      <c r="N186" s="1"/>
      <c r="P186" s="1"/>
      <c r="R186" s="1"/>
      <c r="T186" s="1"/>
      <c r="V186" s="1"/>
      <c r="X186" s="1"/>
    </row>
    <row r="187" spans="5:24" ht="15.75" customHeight="1" x14ac:dyDescent="0.3">
      <c r="E187" s="1"/>
      <c r="H187" s="2"/>
      <c r="J187" s="1"/>
      <c r="L187" s="1"/>
      <c r="N187" s="1"/>
      <c r="P187" s="1"/>
      <c r="R187" s="1"/>
      <c r="T187" s="1"/>
      <c r="V187" s="1"/>
      <c r="X187" s="1"/>
    </row>
    <row r="188" spans="5:24" ht="15.75" customHeight="1" x14ac:dyDescent="0.3">
      <c r="E188" s="1"/>
      <c r="H188" s="2"/>
      <c r="J188" s="1"/>
      <c r="L188" s="1"/>
      <c r="N188" s="1"/>
      <c r="P188" s="1"/>
      <c r="R188" s="1"/>
      <c r="T188" s="1"/>
      <c r="V188" s="1"/>
      <c r="X188" s="1"/>
    </row>
    <row r="189" spans="5:24" ht="15.75" customHeight="1" x14ac:dyDescent="0.3">
      <c r="E189" s="1"/>
      <c r="H189" s="2"/>
      <c r="J189" s="1"/>
      <c r="L189" s="1"/>
      <c r="N189" s="1"/>
      <c r="P189" s="1"/>
      <c r="R189" s="1"/>
      <c r="T189" s="1"/>
      <c r="V189" s="1"/>
      <c r="X189" s="1"/>
    </row>
    <row r="190" spans="5:24" ht="15.75" customHeight="1" x14ac:dyDescent="0.3">
      <c r="E190" s="1"/>
      <c r="H190" s="2"/>
      <c r="J190" s="1"/>
      <c r="L190" s="1"/>
      <c r="N190" s="1"/>
      <c r="P190" s="1"/>
      <c r="R190" s="1"/>
      <c r="T190" s="1"/>
      <c r="V190" s="1"/>
      <c r="X190" s="1"/>
    </row>
    <row r="191" spans="5:24" ht="15.75" customHeight="1" x14ac:dyDescent="0.3">
      <c r="E191" s="1"/>
      <c r="H191" s="2"/>
      <c r="J191" s="1"/>
      <c r="L191" s="1"/>
      <c r="N191" s="1"/>
      <c r="P191" s="1"/>
      <c r="R191" s="1"/>
      <c r="T191" s="1"/>
      <c r="V191" s="1"/>
      <c r="X191" s="1"/>
    </row>
    <row r="192" spans="5:24" ht="15.75" customHeight="1" x14ac:dyDescent="0.3">
      <c r="E192" s="1"/>
      <c r="H192" s="2"/>
      <c r="J192" s="1"/>
      <c r="L192" s="1"/>
      <c r="N192" s="1"/>
      <c r="P192" s="1"/>
      <c r="R192" s="1"/>
      <c r="T192" s="1"/>
      <c r="V192" s="1"/>
      <c r="X192" s="1"/>
    </row>
    <row r="193" spans="5:24" ht="15.75" customHeight="1" x14ac:dyDescent="0.3">
      <c r="E193" s="1"/>
      <c r="H193" s="2"/>
      <c r="J193" s="1"/>
      <c r="L193" s="1"/>
      <c r="N193" s="1"/>
      <c r="P193" s="1"/>
      <c r="R193" s="1"/>
      <c r="T193" s="1"/>
      <c r="V193" s="1"/>
      <c r="X193" s="1"/>
    </row>
    <row r="194" spans="5:24" ht="15.75" customHeight="1" x14ac:dyDescent="0.3">
      <c r="E194" s="1"/>
      <c r="H194" s="2"/>
      <c r="J194" s="1"/>
      <c r="L194" s="1"/>
      <c r="N194" s="1"/>
      <c r="P194" s="1"/>
      <c r="R194" s="1"/>
      <c r="T194" s="1"/>
      <c r="V194" s="1"/>
      <c r="X194" s="1"/>
    </row>
    <row r="195" spans="5:24" ht="15.75" customHeight="1" x14ac:dyDescent="0.3">
      <c r="E195" s="1"/>
      <c r="H195" s="2"/>
      <c r="J195" s="1"/>
      <c r="L195" s="1"/>
      <c r="N195" s="1"/>
      <c r="P195" s="1"/>
      <c r="R195" s="1"/>
      <c r="T195" s="1"/>
      <c r="V195" s="1"/>
      <c r="X195" s="1"/>
    </row>
    <row r="196" spans="5:24" ht="15.75" customHeight="1" x14ac:dyDescent="0.3">
      <c r="E196" s="1"/>
      <c r="H196" s="2"/>
      <c r="J196" s="1"/>
      <c r="L196" s="1"/>
      <c r="N196" s="1"/>
      <c r="P196" s="1"/>
      <c r="R196" s="1"/>
      <c r="T196" s="1"/>
      <c r="V196" s="1"/>
      <c r="X196" s="1"/>
    </row>
    <row r="197" spans="5:24" ht="15.75" customHeight="1" x14ac:dyDescent="0.3">
      <c r="E197" s="1"/>
      <c r="H197" s="2"/>
      <c r="J197" s="1"/>
      <c r="L197" s="1"/>
      <c r="N197" s="1"/>
      <c r="P197" s="1"/>
      <c r="R197" s="1"/>
      <c r="T197" s="1"/>
      <c r="V197" s="1"/>
      <c r="X197" s="1"/>
    </row>
    <row r="198" spans="5:24" ht="15.75" customHeight="1" x14ac:dyDescent="0.3">
      <c r="E198" s="1"/>
      <c r="H198" s="2"/>
      <c r="J198" s="1"/>
      <c r="L198" s="1"/>
      <c r="N198" s="1"/>
      <c r="P198" s="1"/>
      <c r="R198" s="1"/>
      <c r="T198" s="1"/>
      <c r="V198" s="1"/>
      <c r="X198" s="1"/>
    </row>
    <row r="199" spans="5:24" ht="15.75" customHeight="1" x14ac:dyDescent="0.3">
      <c r="E199" s="1"/>
      <c r="H199" s="2"/>
      <c r="J199" s="1"/>
      <c r="L199" s="1"/>
      <c r="N199" s="1"/>
      <c r="P199" s="1"/>
      <c r="R199" s="1"/>
      <c r="T199" s="1"/>
      <c r="V199" s="1"/>
      <c r="X199" s="1"/>
    </row>
    <row r="200" spans="5:24" ht="15.75" customHeight="1" x14ac:dyDescent="0.3">
      <c r="E200" s="1"/>
      <c r="H200" s="2"/>
      <c r="J200" s="1"/>
      <c r="L200" s="1"/>
      <c r="N200" s="1"/>
      <c r="P200" s="1"/>
      <c r="R200" s="1"/>
      <c r="T200" s="1"/>
      <c r="V200" s="1"/>
      <c r="X200" s="1"/>
    </row>
    <row r="201" spans="5:24" ht="15.75" customHeight="1" x14ac:dyDescent="0.3">
      <c r="E201" s="1"/>
      <c r="H201" s="2"/>
      <c r="J201" s="1"/>
      <c r="L201" s="1"/>
      <c r="N201" s="1"/>
      <c r="P201" s="1"/>
      <c r="R201" s="1"/>
      <c r="T201" s="1"/>
      <c r="V201" s="1"/>
      <c r="X201" s="1"/>
    </row>
    <row r="202" spans="5:24" ht="15.75" customHeight="1" x14ac:dyDescent="0.3">
      <c r="E202" s="1"/>
      <c r="H202" s="2"/>
      <c r="J202" s="1"/>
      <c r="L202" s="1"/>
      <c r="N202" s="1"/>
      <c r="P202" s="1"/>
      <c r="R202" s="1"/>
      <c r="T202" s="1"/>
      <c r="V202" s="1"/>
      <c r="X202" s="1"/>
    </row>
    <row r="203" spans="5:24" ht="15.75" customHeight="1" x14ac:dyDescent="0.3">
      <c r="E203" s="1"/>
      <c r="H203" s="2"/>
      <c r="J203" s="1"/>
      <c r="L203" s="1"/>
      <c r="N203" s="1"/>
      <c r="P203" s="1"/>
      <c r="R203" s="1"/>
      <c r="T203" s="1"/>
      <c r="V203" s="1"/>
      <c r="X203" s="1"/>
    </row>
    <row r="204" spans="5:24" ht="15.75" customHeight="1" x14ac:dyDescent="0.3">
      <c r="E204" s="1"/>
      <c r="H204" s="2"/>
      <c r="J204" s="1"/>
      <c r="L204" s="1"/>
      <c r="N204" s="1"/>
      <c r="P204" s="1"/>
      <c r="R204" s="1"/>
      <c r="T204" s="1"/>
      <c r="V204" s="1"/>
      <c r="X204" s="1"/>
    </row>
    <row r="205" spans="5:24" ht="15.75" customHeight="1" x14ac:dyDescent="0.3">
      <c r="E205" s="1"/>
      <c r="H205" s="2"/>
      <c r="J205" s="1"/>
      <c r="L205" s="1"/>
      <c r="N205" s="1"/>
      <c r="P205" s="1"/>
      <c r="R205" s="1"/>
      <c r="T205" s="1"/>
      <c r="V205" s="1"/>
      <c r="X205" s="1"/>
    </row>
    <row r="206" spans="5:24" ht="15.75" customHeight="1" x14ac:dyDescent="0.3">
      <c r="E206" s="1"/>
      <c r="H206" s="2"/>
      <c r="J206" s="1"/>
      <c r="L206" s="1"/>
      <c r="N206" s="1"/>
      <c r="P206" s="1"/>
      <c r="R206" s="1"/>
      <c r="T206" s="1"/>
      <c r="V206" s="1"/>
      <c r="X206" s="1"/>
    </row>
    <row r="207" spans="5:24" ht="15.75" customHeight="1" x14ac:dyDescent="0.3">
      <c r="E207" s="1"/>
      <c r="H207" s="2"/>
      <c r="J207" s="1"/>
      <c r="L207" s="1"/>
      <c r="N207" s="1"/>
      <c r="P207" s="1"/>
      <c r="R207" s="1"/>
      <c r="T207" s="1"/>
      <c r="V207" s="1"/>
      <c r="X207" s="1"/>
    </row>
    <row r="208" spans="5:24" ht="15.75" customHeight="1" x14ac:dyDescent="0.3">
      <c r="E208" s="1"/>
      <c r="H208" s="2"/>
      <c r="J208" s="1"/>
      <c r="L208" s="1"/>
      <c r="N208" s="1"/>
      <c r="P208" s="1"/>
      <c r="R208" s="1"/>
      <c r="T208" s="1"/>
      <c r="V208" s="1"/>
      <c r="X208" s="1"/>
    </row>
    <row r="209" spans="5:24" ht="15.75" customHeight="1" x14ac:dyDescent="0.3">
      <c r="E209" s="1"/>
      <c r="H209" s="2"/>
      <c r="J209" s="1"/>
      <c r="L209" s="1"/>
      <c r="N209" s="1"/>
      <c r="P209" s="1"/>
      <c r="R209" s="1"/>
      <c r="T209" s="1"/>
      <c r="V209" s="1"/>
      <c r="X209" s="1"/>
    </row>
    <row r="210" spans="5:24" ht="15.75" customHeight="1" x14ac:dyDescent="0.3">
      <c r="E210" s="1"/>
      <c r="H210" s="2"/>
      <c r="J210" s="1"/>
      <c r="L210" s="1"/>
      <c r="N210" s="1"/>
      <c r="P210" s="1"/>
      <c r="R210" s="1"/>
      <c r="T210" s="1"/>
      <c r="V210" s="1"/>
      <c r="X210" s="1"/>
    </row>
    <row r="211" spans="5:24" ht="15.75" customHeight="1" x14ac:dyDescent="0.3">
      <c r="E211" s="1"/>
      <c r="H211" s="2"/>
      <c r="J211" s="1"/>
      <c r="L211" s="1"/>
      <c r="N211" s="1"/>
      <c r="P211" s="1"/>
      <c r="R211" s="1"/>
      <c r="T211" s="1"/>
      <c r="V211" s="1"/>
      <c r="X211" s="1"/>
    </row>
    <row r="212" spans="5:24" ht="15.75" customHeight="1" x14ac:dyDescent="0.3">
      <c r="E212" s="1"/>
      <c r="H212" s="2"/>
      <c r="J212" s="1"/>
      <c r="L212" s="1"/>
      <c r="N212" s="1"/>
      <c r="P212" s="1"/>
      <c r="R212" s="1"/>
      <c r="T212" s="1"/>
      <c r="V212" s="1"/>
      <c r="X212" s="1"/>
    </row>
    <row r="213" spans="5:24" ht="15.75" customHeight="1" x14ac:dyDescent="0.3">
      <c r="E213" s="1"/>
      <c r="H213" s="2"/>
      <c r="J213" s="1"/>
      <c r="L213" s="1"/>
      <c r="N213" s="1"/>
      <c r="P213" s="1"/>
      <c r="R213" s="1"/>
      <c r="T213" s="1"/>
      <c r="V213" s="1"/>
      <c r="X213" s="1"/>
    </row>
    <row r="214" spans="5:24" ht="15.75" customHeight="1" x14ac:dyDescent="0.3">
      <c r="E214" s="1"/>
      <c r="H214" s="2"/>
      <c r="J214" s="1"/>
      <c r="L214" s="1"/>
      <c r="N214" s="1"/>
      <c r="P214" s="1"/>
      <c r="R214" s="1"/>
      <c r="T214" s="1"/>
      <c r="V214" s="1"/>
      <c r="X214" s="1"/>
    </row>
    <row r="215" spans="5:24" ht="15.75" customHeight="1" x14ac:dyDescent="0.3">
      <c r="E215" s="1"/>
      <c r="H215" s="2"/>
      <c r="J215" s="1"/>
      <c r="L215" s="1"/>
      <c r="N215" s="1"/>
      <c r="P215" s="1"/>
      <c r="R215" s="1"/>
      <c r="T215" s="1"/>
      <c r="V215" s="1"/>
      <c r="X215" s="1"/>
    </row>
    <row r="216" spans="5:24" ht="15.75" customHeight="1" x14ac:dyDescent="0.3">
      <c r="E216" s="1"/>
      <c r="H216" s="2"/>
      <c r="J216" s="1"/>
      <c r="L216" s="1"/>
      <c r="N216" s="1"/>
      <c r="P216" s="1"/>
      <c r="R216" s="1"/>
      <c r="T216" s="1"/>
      <c r="V216" s="1"/>
      <c r="X216" s="1"/>
    </row>
    <row r="217" spans="5:24" ht="15.75" customHeight="1" x14ac:dyDescent="0.3">
      <c r="E217" s="1"/>
      <c r="H217" s="2"/>
      <c r="J217" s="1"/>
      <c r="L217" s="1"/>
      <c r="N217" s="1"/>
      <c r="P217" s="1"/>
      <c r="R217" s="1"/>
      <c r="T217" s="1"/>
      <c r="V217" s="1"/>
      <c r="X217" s="1"/>
    </row>
    <row r="218" spans="5:24" ht="15.75" customHeight="1" x14ac:dyDescent="0.3">
      <c r="E218" s="1"/>
      <c r="H218" s="2"/>
      <c r="J218" s="1"/>
      <c r="L218" s="1"/>
      <c r="N218" s="1"/>
      <c r="P218" s="1"/>
      <c r="R218" s="1"/>
      <c r="T218" s="1"/>
      <c r="V218" s="1"/>
      <c r="X218" s="1"/>
    </row>
    <row r="219" spans="5:24" ht="15.75" customHeight="1" x14ac:dyDescent="0.3">
      <c r="E219" s="1"/>
      <c r="H219" s="2"/>
      <c r="J219" s="1"/>
      <c r="L219" s="1"/>
      <c r="N219" s="1"/>
      <c r="P219" s="1"/>
      <c r="R219" s="1"/>
      <c r="T219" s="1"/>
      <c r="V219" s="1"/>
      <c r="X219" s="1"/>
    </row>
    <row r="220" spans="5:24" ht="15.75" customHeight="1" x14ac:dyDescent="0.3">
      <c r="E220" s="1"/>
      <c r="H220" s="2"/>
      <c r="J220" s="1"/>
      <c r="L220" s="1"/>
      <c r="N220" s="1"/>
      <c r="P220" s="1"/>
      <c r="R220" s="1"/>
      <c r="T220" s="1"/>
      <c r="V220" s="1"/>
      <c r="X220" s="1"/>
    </row>
    <row r="221" spans="5:24" ht="15.75" customHeight="1" x14ac:dyDescent="0.3">
      <c r="E221" s="1"/>
      <c r="H221" s="2"/>
      <c r="J221" s="1"/>
      <c r="L221" s="1"/>
      <c r="N221" s="1"/>
      <c r="P221" s="1"/>
      <c r="R221" s="1"/>
      <c r="T221" s="1"/>
      <c r="V221" s="1"/>
      <c r="X221" s="1"/>
    </row>
    <row r="222" spans="5:24" ht="15.75" customHeight="1" x14ac:dyDescent="0.3">
      <c r="E222" s="1"/>
      <c r="H222" s="2"/>
      <c r="J222" s="1"/>
      <c r="L222" s="1"/>
      <c r="N222" s="1"/>
      <c r="P222" s="1"/>
      <c r="R222" s="1"/>
      <c r="T222" s="1"/>
      <c r="V222" s="1"/>
      <c r="X222" s="1"/>
    </row>
    <row r="223" spans="5:24" ht="15.75" customHeight="1" x14ac:dyDescent="0.3">
      <c r="E223" s="1"/>
      <c r="H223" s="2"/>
      <c r="J223" s="1"/>
      <c r="L223" s="1"/>
      <c r="N223" s="1"/>
      <c r="P223" s="1"/>
      <c r="R223" s="1"/>
      <c r="T223" s="1"/>
      <c r="V223" s="1"/>
      <c r="X223" s="1"/>
    </row>
    <row r="224" spans="5:24" ht="15.75" customHeight="1" x14ac:dyDescent="0.3">
      <c r="E224" s="1"/>
      <c r="H224" s="2"/>
      <c r="J224" s="1"/>
      <c r="L224" s="1"/>
      <c r="N224" s="1"/>
      <c r="P224" s="1"/>
      <c r="R224" s="1"/>
      <c r="T224" s="1"/>
      <c r="V224" s="1"/>
      <c r="X224" s="1"/>
    </row>
    <row r="225" spans="5:24" ht="15.75" customHeight="1" x14ac:dyDescent="0.3">
      <c r="E225" s="1"/>
      <c r="H225" s="2"/>
      <c r="J225" s="1"/>
      <c r="L225" s="1"/>
      <c r="N225" s="1"/>
      <c r="P225" s="1"/>
      <c r="R225" s="1"/>
      <c r="T225" s="1"/>
      <c r="V225" s="1"/>
      <c r="X225" s="1"/>
    </row>
    <row r="226" spans="5:24" ht="15.75" customHeight="1" x14ac:dyDescent="0.3">
      <c r="E226" s="1"/>
      <c r="H226" s="2"/>
      <c r="J226" s="1"/>
      <c r="L226" s="1"/>
      <c r="N226" s="1"/>
      <c r="P226" s="1"/>
      <c r="R226" s="1"/>
      <c r="T226" s="1"/>
      <c r="V226" s="1"/>
      <c r="X226" s="1"/>
    </row>
    <row r="227" spans="5:24" ht="15.75" customHeight="1" x14ac:dyDescent="0.3">
      <c r="E227" s="1"/>
      <c r="H227" s="2"/>
      <c r="J227" s="1"/>
      <c r="L227" s="1"/>
      <c r="N227" s="1"/>
      <c r="P227" s="1"/>
      <c r="R227" s="1"/>
      <c r="T227" s="1"/>
      <c r="V227" s="1"/>
      <c r="X227" s="1"/>
    </row>
    <row r="228" spans="5:24" ht="15.75" customHeight="1" x14ac:dyDescent="0.3">
      <c r="E228" s="1"/>
      <c r="H228" s="2"/>
      <c r="J228" s="1"/>
      <c r="L228" s="1"/>
      <c r="N228" s="1"/>
      <c r="P228" s="1"/>
      <c r="R228" s="1"/>
      <c r="T228" s="1"/>
      <c r="V228" s="1"/>
      <c r="X228" s="1"/>
    </row>
    <row r="229" spans="5:24" ht="15.75" customHeight="1" x14ac:dyDescent="0.3">
      <c r="E229" s="1"/>
      <c r="H229" s="2"/>
      <c r="J229" s="1"/>
      <c r="L229" s="1"/>
      <c r="N229" s="1"/>
      <c r="P229" s="1"/>
      <c r="R229" s="1"/>
      <c r="T229" s="1"/>
      <c r="V229" s="1"/>
      <c r="X229" s="1"/>
    </row>
    <row r="230" spans="5:24" ht="15.75" customHeight="1" x14ac:dyDescent="0.3">
      <c r="E230" s="1"/>
      <c r="H230" s="2"/>
      <c r="J230" s="1"/>
      <c r="L230" s="1"/>
      <c r="N230" s="1"/>
      <c r="P230" s="1"/>
      <c r="R230" s="1"/>
      <c r="T230" s="1"/>
      <c r="V230" s="1"/>
      <c r="X230" s="1"/>
    </row>
    <row r="231" spans="5:24" ht="15.75" customHeight="1" x14ac:dyDescent="0.3">
      <c r="E231" s="1"/>
      <c r="H231" s="2"/>
      <c r="J231" s="1"/>
      <c r="L231" s="1"/>
      <c r="N231" s="1"/>
      <c r="P231" s="1"/>
      <c r="R231" s="1"/>
      <c r="T231" s="1"/>
      <c r="V231" s="1"/>
      <c r="X231" s="1"/>
    </row>
    <row r="232" spans="5:24" ht="15.75" customHeight="1" x14ac:dyDescent="0.3">
      <c r="E232" s="1"/>
      <c r="H232" s="2"/>
      <c r="J232" s="1"/>
      <c r="L232" s="1"/>
      <c r="N232" s="1"/>
      <c r="P232" s="1"/>
      <c r="R232" s="1"/>
      <c r="T232" s="1"/>
      <c r="V232" s="1"/>
      <c r="X232" s="1"/>
    </row>
    <row r="233" spans="5:24" ht="15.75" customHeight="1" x14ac:dyDescent="0.3">
      <c r="E233" s="1"/>
      <c r="H233" s="2"/>
      <c r="J233" s="1"/>
      <c r="L233" s="1"/>
      <c r="N233" s="1"/>
      <c r="P233" s="1"/>
      <c r="R233" s="1"/>
      <c r="T233" s="1"/>
      <c r="V233" s="1"/>
      <c r="X233" s="1"/>
    </row>
    <row r="234" spans="5:24" ht="15.75" customHeight="1" x14ac:dyDescent="0.3">
      <c r="E234" s="1"/>
      <c r="H234" s="2"/>
      <c r="J234" s="1"/>
      <c r="L234" s="1"/>
      <c r="N234" s="1"/>
      <c r="P234" s="1"/>
      <c r="R234" s="1"/>
      <c r="T234" s="1"/>
      <c r="V234" s="1"/>
      <c r="X234" s="1"/>
    </row>
    <row r="235" spans="5:24" ht="15.75" customHeight="1" x14ac:dyDescent="0.3">
      <c r="E235" s="1"/>
      <c r="H235" s="2"/>
      <c r="J235" s="1"/>
      <c r="L235" s="1"/>
      <c r="N235" s="1"/>
      <c r="P235" s="1"/>
      <c r="R235" s="1"/>
      <c r="T235" s="1"/>
      <c r="V235" s="1"/>
      <c r="X235" s="1"/>
    </row>
    <row r="236" spans="5:24" ht="15.75" customHeight="1" x14ac:dyDescent="0.3">
      <c r="E236" s="1"/>
      <c r="H236" s="2"/>
      <c r="J236" s="1"/>
      <c r="L236" s="1"/>
      <c r="N236" s="1"/>
      <c r="P236" s="1"/>
      <c r="R236" s="1"/>
      <c r="T236" s="1"/>
      <c r="V236" s="1"/>
      <c r="X236" s="1"/>
    </row>
    <row r="237" spans="5:24" ht="15.75" customHeight="1" x14ac:dyDescent="0.3">
      <c r="E237" s="1"/>
      <c r="H237" s="2"/>
      <c r="J237" s="1"/>
      <c r="L237" s="1"/>
      <c r="N237" s="1"/>
      <c r="P237" s="1"/>
      <c r="R237" s="1"/>
      <c r="T237" s="1"/>
      <c r="V237" s="1"/>
      <c r="X237" s="1"/>
    </row>
    <row r="238" spans="5:24" ht="15.75" customHeight="1" x14ac:dyDescent="0.3">
      <c r="E238" s="1"/>
      <c r="H238" s="2"/>
      <c r="J238" s="1"/>
      <c r="L238" s="1"/>
      <c r="N238" s="1"/>
      <c r="P238" s="1"/>
      <c r="R238" s="1"/>
      <c r="T238" s="1"/>
      <c r="V238" s="1"/>
      <c r="X238" s="1"/>
    </row>
    <row r="239" spans="5:24" ht="15.75" customHeight="1" x14ac:dyDescent="0.3">
      <c r="E239" s="1"/>
      <c r="H239" s="2"/>
      <c r="J239" s="1"/>
      <c r="L239" s="1"/>
      <c r="N239" s="1"/>
      <c r="P239" s="1"/>
      <c r="R239" s="1"/>
      <c r="T239" s="1"/>
      <c r="V239" s="1"/>
      <c r="X239" s="1"/>
    </row>
    <row r="240" spans="5:24" ht="15.75" customHeight="1" x14ac:dyDescent="0.3">
      <c r="E240" s="1"/>
      <c r="H240" s="2"/>
      <c r="J240" s="1"/>
      <c r="L240" s="1"/>
      <c r="N240" s="1"/>
      <c r="P240" s="1"/>
      <c r="R240" s="1"/>
      <c r="T240" s="1"/>
      <c r="V240" s="1"/>
      <c r="X240" s="1"/>
    </row>
    <row r="241" spans="5:24" ht="15.75" customHeight="1" x14ac:dyDescent="0.3">
      <c r="E241" s="1"/>
      <c r="H241" s="2"/>
      <c r="J241" s="1"/>
      <c r="L241" s="1"/>
      <c r="N241" s="1"/>
      <c r="P241" s="1"/>
      <c r="R241" s="1"/>
      <c r="T241" s="1"/>
      <c r="V241" s="1"/>
      <c r="X241" s="1"/>
    </row>
    <row r="242" spans="5:24" ht="15.75" customHeight="1" x14ac:dyDescent="0.3">
      <c r="E242" s="1"/>
      <c r="H242" s="2"/>
      <c r="J242" s="1"/>
      <c r="L242" s="1"/>
      <c r="N242" s="1"/>
      <c r="P242" s="1"/>
      <c r="R242" s="1"/>
      <c r="T242" s="1"/>
      <c r="V242" s="1"/>
      <c r="X242" s="1"/>
    </row>
    <row r="243" spans="5:24" ht="15.75" customHeight="1" x14ac:dyDescent="0.3">
      <c r="E243" s="1"/>
      <c r="H243" s="2"/>
      <c r="J243" s="1"/>
      <c r="L243" s="1"/>
      <c r="N243" s="1"/>
      <c r="P243" s="1"/>
      <c r="R243" s="1"/>
      <c r="T243" s="1"/>
      <c r="V243" s="1"/>
      <c r="X243" s="1"/>
    </row>
    <row r="244" spans="5:24" ht="15.75" customHeight="1" x14ac:dyDescent="0.3">
      <c r="E244" s="1"/>
      <c r="H244" s="2"/>
      <c r="J244" s="1"/>
      <c r="L244" s="1"/>
      <c r="N244" s="1"/>
      <c r="P244" s="1"/>
      <c r="R244" s="1"/>
      <c r="T244" s="1"/>
      <c r="V244" s="1"/>
      <c r="X244" s="1"/>
    </row>
    <row r="245" spans="5:24" ht="15.75" customHeight="1" x14ac:dyDescent="0.3">
      <c r="E245" s="1"/>
      <c r="H245" s="2"/>
      <c r="J245" s="1"/>
      <c r="L245" s="1"/>
      <c r="N245" s="1"/>
      <c r="P245" s="1"/>
      <c r="R245" s="1"/>
      <c r="T245" s="1"/>
      <c r="V245" s="1"/>
      <c r="X245" s="1"/>
    </row>
    <row r="246" spans="5:24" ht="15.75" customHeight="1" x14ac:dyDescent="0.3">
      <c r="E246" s="1"/>
      <c r="H246" s="2"/>
      <c r="J246" s="1"/>
      <c r="L246" s="1"/>
      <c r="N246" s="1"/>
      <c r="P246" s="1"/>
      <c r="R246" s="1"/>
      <c r="T246" s="1"/>
      <c r="V246" s="1"/>
      <c r="X246" s="1"/>
    </row>
    <row r="247" spans="5:24" ht="15.75" customHeight="1" x14ac:dyDescent="0.3">
      <c r="E247" s="1"/>
      <c r="H247" s="2"/>
      <c r="J247" s="1"/>
      <c r="L247" s="1"/>
      <c r="N247" s="1"/>
      <c r="P247" s="1"/>
      <c r="R247" s="1"/>
      <c r="T247" s="1"/>
      <c r="V247" s="1"/>
      <c r="X247" s="1"/>
    </row>
    <row r="248" spans="5:24" ht="15.75" customHeight="1" x14ac:dyDescent="0.3">
      <c r="E248" s="1"/>
      <c r="H248" s="2"/>
      <c r="J248" s="1"/>
      <c r="L248" s="1"/>
      <c r="N248" s="1"/>
      <c r="P248" s="1"/>
      <c r="R248" s="1"/>
      <c r="T248" s="1"/>
      <c r="V248" s="1"/>
      <c r="X248" s="1"/>
    </row>
    <row r="249" spans="5:24" ht="15.75" customHeight="1" x14ac:dyDescent="0.3">
      <c r="E249" s="1"/>
      <c r="H249" s="2"/>
      <c r="J249" s="1"/>
      <c r="L249" s="1"/>
      <c r="N249" s="1"/>
      <c r="P249" s="1"/>
      <c r="R249" s="1"/>
      <c r="T249" s="1"/>
      <c r="V249" s="1"/>
      <c r="X249" s="1"/>
    </row>
    <row r="250" spans="5:24" ht="15.75" customHeight="1" x14ac:dyDescent="0.3">
      <c r="E250" s="1"/>
      <c r="H250" s="2"/>
      <c r="J250" s="1"/>
      <c r="L250" s="1"/>
      <c r="N250" s="1"/>
      <c r="P250" s="1"/>
      <c r="R250" s="1"/>
      <c r="T250" s="1"/>
      <c r="V250" s="1"/>
      <c r="X250" s="1"/>
    </row>
    <row r="251" spans="5:24" ht="15.75" customHeight="1" x14ac:dyDescent="0.3">
      <c r="E251" s="1"/>
      <c r="H251" s="2"/>
      <c r="J251" s="1"/>
      <c r="L251" s="1"/>
      <c r="N251" s="1"/>
      <c r="P251" s="1"/>
      <c r="R251" s="1"/>
      <c r="T251" s="1"/>
      <c r="V251" s="1"/>
      <c r="X251" s="1"/>
    </row>
    <row r="252" spans="5:24" ht="15.75" customHeight="1" x14ac:dyDescent="0.3">
      <c r="E252" s="1"/>
      <c r="H252" s="2"/>
      <c r="J252" s="1"/>
      <c r="L252" s="1"/>
      <c r="N252" s="1"/>
      <c r="P252" s="1"/>
      <c r="R252" s="1"/>
      <c r="T252" s="1"/>
      <c r="V252" s="1"/>
      <c r="X252" s="1"/>
    </row>
    <row r="253" spans="5:24" ht="15.75" customHeight="1" x14ac:dyDescent="0.3">
      <c r="E253" s="1"/>
      <c r="H253" s="2"/>
      <c r="J253" s="1"/>
      <c r="L253" s="1"/>
      <c r="N253" s="1"/>
      <c r="P253" s="1"/>
      <c r="R253" s="1"/>
      <c r="T253" s="1"/>
      <c r="V253" s="1"/>
      <c r="X253" s="1"/>
    </row>
    <row r="254" spans="5:24" ht="15.75" customHeight="1" x14ac:dyDescent="0.3">
      <c r="E254" s="1"/>
      <c r="H254" s="2"/>
      <c r="J254" s="1"/>
      <c r="L254" s="1"/>
      <c r="N254" s="1"/>
      <c r="P254" s="1"/>
      <c r="R254" s="1"/>
      <c r="T254" s="1"/>
      <c r="V254" s="1"/>
      <c r="X254" s="1"/>
    </row>
    <row r="255" spans="5:24" ht="15.75" customHeight="1" x14ac:dyDescent="0.3">
      <c r="E255" s="1"/>
      <c r="H255" s="2"/>
      <c r="J255" s="1"/>
      <c r="L255" s="1"/>
      <c r="N255" s="1"/>
      <c r="P255" s="1"/>
      <c r="R255" s="1"/>
      <c r="T255" s="1"/>
      <c r="V255" s="1"/>
      <c r="X255" s="1"/>
    </row>
    <row r="256" spans="5:24" ht="15.75" customHeight="1" x14ac:dyDescent="0.3">
      <c r="E256" s="1"/>
      <c r="H256" s="2"/>
      <c r="J256" s="1"/>
      <c r="L256" s="1"/>
      <c r="N256" s="1"/>
      <c r="P256" s="1"/>
      <c r="R256" s="1"/>
      <c r="T256" s="1"/>
      <c r="V256" s="1"/>
      <c r="X256" s="1"/>
    </row>
    <row r="257" spans="5:24" ht="15.75" customHeight="1" x14ac:dyDescent="0.3">
      <c r="E257" s="1"/>
      <c r="H257" s="2"/>
      <c r="J257" s="1"/>
      <c r="L257" s="1"/>
      <c r="N257" s="1"/>
      <c r="P257" s="1"/>
      <c r="R257" s="1"/>
      <c r="T257" s="1"/>
      <c r="V257" s="1"/>
      <c r="X257" s="1"/>
    </row>
    <row r="258" spans="5:24" ht="15.75" customHeight="1" x14ac:dyDescent="0.3">
      <c r="E258" s="1"/>
      <c r="H258" s="2"/>
      <c r="J258" s="1"/>
      <c r="L258" s="1"/>
      <c r="N258" s="1"/>
      <c r="P258" s="1"/>
      <c r="R258" s="1"/>
      <c r="T258" s="1"/>
      <c r="V258" s="1"/>
      <c r="X258" s="1"/>
    </row>
    <row r="259" spans="5:24" ht="15.75" customHeight="1" x14ac:dyDescent="0.3">
      <c r="E259" s="1"/>
      <c r="H259" s="2"/>
      <c r="J259" s="1"/>
      <c r="L259" s="1"/>
      <c r="N259" s="1"/>
      <c r="P259" s="1"/>
      <c r="R259" s="1"/>
      <c r="T259" s="1"/>
      <c r="V259" s="1"/>
      <c r="X259" s="1"/>
    </row>
    <row r="260" spans="5:24" ht="15.75" customHeight="1" x14ac:dyDescent="0.3">
      <c r="E260" s="1"/>
      <c r="H260" s="2"/>
      <c r="J260" s="1"/>
      <c r="L260" s="1"/>
      <c r="N260" s="1"/>
      <c r="P260" s="1"/>
      <c r="R260" s="1"/>
      <c r="T260" s="1"/>
      <c r="V260" s="1"/>
      <c r="X260" s="1"/>
    </row>
    <row r="261" spans="5:24" ht="15.75" customHeight="1" x14ac:dyDescent="0.3">
      <c r="E261" s="1"/>
      <c r="H261" s="2"/>
      <c r="J261" s="1"/>
      <c r="L261" s="1"/>
      <c r="N261" s="1"/>
      <c r="P261" s="1"/>
      <c r="R261" s="1"/>
      <c r="T261" s="1"/>
      <c r="V261" s="1"/>
      <c r="X261" s="1"/>
    </row>
    <row r="262" spans="5:24" ht="15.75" customHeight="1" x14ac:dyDescent="0.3">
      <c r="E262" s="1"/>
      <c r="H262" s="2"/>
      <c r="J262" s="1"/>
      <c r="L262" s="1"/>
      <c r="N262" s="1"/>
      <c r="P262" s="1"/>
      <c r="R262" s="1"/>
      <c r="T262" s="1"/>
      <c r="V262" s="1"/>
      <c r="X262" s="1"/>
    </row>
    <row r="263" spans="5:24" ht="15.75" customHeight="1" x14ac:dyDescent="0.3">
      <c r="E263" s="1"/>
      <c r="H263" s="2"/>
      <c r="J263" s="1"/>
      <c r="L263" s="1"/>
      <c r="N263" s="1"/>
      <c r="P263" s="1"/>
      <c r="R263" s="1"/>
      <c r="T263" s="1"/>
      <c r="V263" s="1"/>
      <c r="X263" s="1"/>
    </row>
    <row r="264" spans="5:24" ht="15.75" customHeight="1" x14ac:dyDescent="0.3">
      <c r="E264" s="1"/>
      <c r="H264" s="2"/>
      <c r="J264" s="1"/>
      <c r="L264" s="1"/>
      <c r="N264" s="1"/>
      <c r="P264" s="1"/>
      <c r="R264" s="1"/>
      <c r="T264" s="1"/>
      <c r="V264" s="1"/>
      <c r="X264" s="1"/>
    </row>
    <row r="265" spans="5:24" ht="15.75" customHeight="1" x14ac:dyDescent="0.3">
      <c r="E265" s="1"/>
      <c r="H265" s="2"/>
      <c r="J265" s="1"/>
      <c r="L265" s="1"/>
      <c r="N265" s="1"/>
      <c r="P265" s="1"/>
      <c r="R265" s="1"/>
      <c r="T265" s="1"/>
      <c r="V265" s="1"/>
      <c r="X265" s="1"/>
    </row>
    <row r="266" spans="5:24" ht="15.75" customHeight="1" x14ac:dyDescent="0.3">
      <c r="E266" s="1"/>
      <c r="H266" s="2"/>
      <c r="J266" s="1"/>
      <c r="L266" s="1"/>
      <c r="N266" s="1"/>
      <c r="P266" s="1"/>
      <c r="R266" s="1"/>
      <c r="T266" s="1"/>
      <c r="V266" s="1"/>
      <c r="X266" s="1"/>
    </row>
    <row r="267" spans="5:24" ht="15.75" customHeight="1" x14ac:dyDescent="0.3">
      <c r="E267" s="1"/>
      <c r="H267" s="2"/>
      <c r="J267" s="1"/>
      <c r="L267" s="1"/>
      <c r="N267" s="1"/>
      <c r="P267" s="1"/>
      <c r="R267" s="1"/>
      <c r="T267" s="1"/>
      <c r="V267" s="1"/>
      <c r="X267" s="1"/>
    </row>
    <row r="268" spans="5:24" ht="15.75" customHeight="1" x14ac:dyDescent="0.3">
      <c r="E268" s="1"/>
      <c r="H268" s="2"/>
      <c r="J268" s="1"/>
      <c r="L268" s="1"/>
      <c r="N268" s="1"/>
      <c r="P268" s="1"/>
      <c r="R268" s="1"/>
      <c r="T268" s="1"/>
      <c r="V268" s="1"/>
      <c r="X268" s="1"/>
    </row>
    <row r="269" spans="5:24" ht="15.75" customHeight="1" x14ac:dyDescent="0.3">
      <c r="E269" s="1"/>
      <c r="H269" s="2"/>
      <c r="J269" s="1"/>
      <c r="L269" s="1"/>
      <c r="N269" s="1"/>
      <c r="P269" s="1"/>
      <c r="R269" s="1"/>
      <c r="T269" s="1"/>
      <c r="V269" s="1"/>
      <c r="X269" s="1"/>
    </row>
    <row r="270" spans="5:24" ht="15.75" customHeight="1" x14ac:dyDescent="0.3">
      <c r="E270" s="1"/>
      <c r="H270" s="2"/>
      <c r="J270" s="1"/>
      <c r="L270" s="1"/>
      <c r="N270" s="1"/>
      <c r="P270" s="1"/>
      <c r="R270" s="1"/>
      <c r="T270" s="1"/>
      <c r="V270" s="1"/>
      <c r="X270" s="1"/>
    </row>
    <row r="271" spans="5:24" ht="15.75" customHeight="1" x14ac:dyDescent="0.3">
      <c r="E271" s="1"/>
      <c r="H271" s="2"/>
      <c r="J271" s="1"/>
      <c r="L271" s="1"/>
      <c r="N271" s="1"/>
      <c r="P271" s="1"/>
      <c r="R271" s="1"/>
      <c r="T271" s="1"/>
      <c r="V271" s="1"/>
      <c r="X271" s="1"/>
    </row>
    <row r="272" spans="5:24" ht="15.75" customHeight="1" x14ac:dyDescent="0.3">
      <c r="E272" s="1"/>
      <c r="H272" s="2"/>
      <c r="J272" s="1"/>
      <c r="L272" s="1"/>
      <c r="N272" s="1"/>
      <c r="P272" s="1"/>
      <c r="R272" s="1"/>
      <c r="T272" s="1"/>
      <c r="V272" s="1"/>
      <c r="X272" s="1"/>
    </row>
    <row r="273" spans="5:24" ht="15.75" customHeight="1" x14ac:dyDescent="0.3">
      <c r="E273" s="1"/>
      <c r="H273" s="2"/>
      <c r="J273" s="1"/>
      <c r="L273" s="1"/>
      <c r="N273" s="1"/>
      <c r="P273" s="1"/>
      <c r="R273" s="1"/>
      <c r="T273" s="1"/>
      <c r="V273" s="1"/>
      <c r="X273" s="1"/>
    </row>
    <row r="274" spans="5:24" ht="15.75" customHeight="1" x14ac:dyDescent="0.3">
      <c r="E274" s="1"/>
      <c r="H274" s="2"/>
      <c r="J274" s="1"/>
      <c r="L274" s="1"/>
      <c r="N274" s="1"/>
      <c r="P274" s="1"/>
      <c r="R274" s="1"/>
      <c r="T274" s="1"/>
      <c r="V274" s="1"/>
      <c r="X274" s="1"/>
    </row>
    <row r="275" spans="5:24" ht="15.75" customHeight="1" x14ac:dyDescent="0.3">
      <c r="E275" s="1"/>
      <c r="H275" s="2"/>
      <c r="J275" s="1"/>
      <c r="L275" s="1"/>
      <c r="N275" s="1"/>
      <c r="P275" s="1"/>
      <c r="R275" s="1"/>
      <c r="T275" s="1"/>
      <c r="V275" s="1"/>
      <c r="X275" s="1"/>
    </row>
    <row r="276" spans="5:24" ht="15.75" customHeight="1" x14ac:dyDescent="0.3">
      <c r="E276" s="1"/>
      <c r="H276" s="2"/>
      <c r="J276" s="1"/>
      <c r="L276" s="1"/>
      <c r="N276" s="1"/>
      <c r="P276" s="1"/>
      <c r="R276" s="1"/>
      <c r="T276" s="1"/>
      <c r="V276" s="1"/>
      <c r="X276" s="1"/>
    </row>
    <row r="277" spans="5:24" ht="15.75" customHeight="1" x14ac:dyDescent="0.3">
      <c r="E277" s="1"/>
      <c r="H277" s="2"/>
      <c r="J277" s="1"/>
      <c r="L277" s="1"/>
      <c r="N277" s="1"/>
      <c r="P277" s="1"/>
      <c r="R277" s="1"/>
      <c r="T277" s="1"/>
      <c r="V277" s="1"/>
      <c r="X277" s="1"/>
    </row>
    <row r="278" spans="5:24" ht="15.75" customHeight="1" x14ac:dyDescent="0.3">
      <c r="E278" s="1"/>
      <c r="H278" s="2"/>
      <c r="J278" s="1"/>
      <c r="L278" s="1"/>
      <c r="N278" s="1"/>
      <c r="P278" s="1"/>
      <c r="R278" s="1"/>
      <c r="T278" s="1"/>
      <c r="V278" s="1"/>
      <c r="X278" s="1"/>
    </row>
    <row r="279" spans="5:24" ht="15.75" customHeight="1" x14ac:dyDescent="0.3">
      <c r="E279" s="1"/>
      <c r="H279" s="2"/>
      <c r="J279" s="1"/>
      <c r="L279" s="1"/>
      <c r="N279" s="1"/>
      <c r="P279" s="1"/>
      <c r="R279" s="1"/>
      <c r="T279" s="1"/>
      <c r="V279" s="1"/>
      <c r="X279" s="1"/>
    </row>
    <row r="280" spans="5:24" ht="15.75" customHeight="1" x14ac:dyDescent="0.3">
      <c r="E280" s="1"/>
      <c r="H280" s="2"/>
      <c r="J280" s="1"/>
      <c r="L280" s="1"/>
      <c r="N280" s="1"/>
      <c r="P280" s="1"/>
      <c r="R280" s="1"/>
      <c r="T280" s="1"/>
      <c r="V280" s="1"/>
      <c r="X280" s="1"/>
    </row>
    <row r="281" spans="5:24" ht="15.75" customHeight="1" x14ac:dyDescent="0.3">
      <c r="E281" s="1"/>
      <c r="H281" s="2"/>
      <c r="J281" s="1"/>
      <c r="L281" s="1"/>
      <c r="N281" s="1"/>
      <c r="P281" s="1"/>
      <c r="R281" s="1"/>
      <c r="T281" s="1"/>
      <c r="V281" s="1"/>
      <c r="X281" s="1"/>
    </row>
    <row r="282" spans="5:24" ht="15.75" customHeight="1" x14ac:dyDescent="0.3">
      <c r="E282" s="1"/>
      <c r="H282" s="2"/>
      <c r="J282" s="1"/>
      <c r="L282" s="1"/>
      <c r="N282" s="1"/>
      <c r="P282" s="1"/>
      <c r="R282" s="1"/>
      <c r="T282" s="1"/>
      <c r="V282" s="1"/>
      <c r="X282" s="1"/>
    </row>
    <row r="283" spans="5:24" ht="15.75" customHeight="1" x14ac:dyDescent="0.3">
      <c r="E283" s="1"/>
      <c r="H283" s="2"/>
      <c r="J283" s="1"/>
      <c r="L283" s="1"/>
      <c r="N283" s="1"/>
      <c r="P283" s="1"/>
      <c r="R283" s="1"/>
      <c r="T283" s="1"/>
      <c r="V283" s="1"/>
      <c r="X283" s="1"/>
    </row>
    <row r="284" spans="5:24" ht="15.75" customHeight="1" x14ac:dyDescent="0.3">
      <c r="E284" s="1"/>
      <c r="H284" s="2"/>
      <c r="J284" s="1"/>
      <c r="L284" s="1"/>
      <c r="N284" s="1"/>
      <c r="P284" s="1"/>
      <c r="R284" s="1"/>
      <c r="T284" s="1"/>
      <c r="V284" s="1"/>
      <c r="X284" s="1"/>
    </row>
    <row r="285" spans="5:24" ht="15.75" customHeight="1" x14ac:dyDescent="0.3">
      <c r="E285" s="1"/>
      <c r="H285" s="2"/>
      <c r="J285" s="1"/>
      <c r="L285" s="1"/>
      <c r="N285" s="1"/>
      <c r="P285" s="1"/>
      <c r="R285" s="1"/>
      <c r="T285" s="1"/>
      <c r="V285" s="1"/>
      <c r="X285" s="1"/>
    </row>
    <row r="286" spans="5:24" ht="15.75" customHeight="1" x14ac:dyDescent="0.3">
      <c r="E286" s="1"/>
      <c r="H286" s="2"/>
      <c r="J286" s="1"/>
      <c r="L286" s="1"/>
      <c r="N286" s="1"/>
      <c r="P286" s="1"/>
      <c r="R286" s="1"/>
      <c r="T286" s="1"/>
      <c r="V286" s="1"/>
      <c r="X286" s="1"/>
    </row>
    <row r="287" spans="5:24" ht="15.75" customHeight="1" x14ac:dyDescent="0.3">
      <c r="E287" s="1"/>
      <c r="H287" s="2"/>
      <c r="J287" s="1"/>
      <c r="L287" s="1"/>
      <c r="N287" s="1"/>
      <c r="P287" s="1"/>
      <c r="R287" s="1"/>
      <c r="T287" s="1"/>
      <c r="V287" s="1"/>
      <c r="X287" s="1"/>
    </row>
    <row r="288" spans="5:24" ht="15.75" customHeight="1" x14ac:dyDescent="0.3">
      <c r="E288" s="1"/>
      <c r="H288" s="2"/>
      <c r="J288" s="1"/>
      <c r="L288" s="1"/>
      <c r="N288" s="1"/>
      <c r="P288" s="1"/>
      <c r="R288" s="1"/>
      <c r="T288" s="1"/>
      <c r="V288" s="1"/>
      <c r="X288" s="1"/>
    </row>
    <row r="289" spans="5:24" ht="15.75" customHeight="1" x14ac:dyDescent="0.3">
      <c r="E289" s="1"/>
      <c r="H289" s="2"/>
      <c r="J289" s="1"/>
      <c r="L289" s="1"/>
      <c r="N289" s="1"/>
      <c r="P289" s="1"/>
      <c r="R289" s="1"/>
      <c r="T289" s="1"/>
      <c r="V289" s="1"/>
      <c r="X289" s="1"/>
    </row>
    <row r="290" spans="5:24" ht="15.75" customHeight="1" x14ac:dyDescent="0.3">
      <c r="E290" s="1"/>
      <c r="H290" s="2"/>
      <c r="J290" s="1"/>
      <c r="L290" s="1"/>
      <c r="N290" s="1"/>
      <c r="P290" s="1"/>
      <c r="R290" s="1"/>
      <c r="T290" s="1"/>
      <c r="V290" s="1"/>
      <c r="X290" s="1"/>
    </row>
    <row r="291" spans="5:24" ht="15.75" customHeight="1" x14ac:dyDescent="0.3">
      <c r="E291" s="1"/>
      <c r="H291" s="2"/>
      <c r="J291" s="1"/>
      <c r="L291" s="1"/>
      <c r="N291" s="1"/>
      <c r="P291" s="1"/>
      <c r="R291" s="1"/>
      <c r="T291" s="1"/>
      <c r="V291" s="1"/>
      <c r="X291" s="1"/>
    </row>
    <row r="292" spans="5:24" ht="15.75" customHeight="1" x14ac:dyDescent="0.3">
      <c r="E292" s="1"/>
      <c r="H292" s="2"/>
      <c r="J292" s="1"/>
      <c r="L292" s="1"/>
      <c r="N292" s="1"/>
      <c r="P292" s="1"/>
      <c r="R292" s="1"/>
      <c r="T292" s="1"/>
      <c r="V292" s="1"/>
      <c r="X292" s="1"/>
    </row>
    <row r="293" spans="5:24" ht="15.75" customHeight="1" x14ac:dyDescent="0.3">
      <c r="E293" s="1"/>
      <c r="H293" s="2"/>
      <c r="J293" s="1"/>
      <c r="L293" s="1"/>
      <c r="N293" s="1"/>
      <c r="P293" s="1"/>
      <c r="R293" s="1"/>
      <c r="T293" s="1"/>
      <c r="V293" s="1"/>
      <c r="X293" s="1"/>
    </row>
    <row r="294" spans="5:24" ht="15.75" customHeight="1" x14ac:dyDescent="0.3">
      <c r="E294" s="1"/>
      <c r="H294" s="2"/>
      <c r="J294" s="1"/>
      <c r="L294" s="1"/>
      <c r="N294" s="1"/>
      <c r="P294" s="1"/>
      <c r="R294" s="1"/>
      <c r="T294" s="1"/>
      <c r="V294" s="1"/>
      <c r="X294" s="1"/>
    </row>
    <row r="295" spans="5:24" ht="15.75" customHeight="1" x14ac:dyDescent="0.3">
      <c r="E295" s="1"/>
      <c r="H295" s="2"/>
      <c r="J295" s="1"/>
      <c r="L295" s="1"/>
      <c r="N295" s="1"/>
      <c r="P295" s="1"/>
      <c r="R295" s="1"/>
      <c r="T295" s="1"/>
      <c r="V295" s="1"/>
      <c r="X295" s="1"/>
    </row>
    <row r="296" spans="5:24" ht="15.75" customHeight="1" x14ac:dyDescent="0.3">
      <c r="E296" s="1"/>
      <c r="H296" s="2"/>
      <c r="J296" s="1"/>
      <c r="L296" s="1"/>
      <c r="N296" s="1"/>
      <c r="P296" s="1"/>
      <c r="R296" s="1"/>
      <c r="T296" s="1"/>
      <c r="V296" s="1"/>
      <c r="X296" s="1"/>
    </row>
    <row r="297" spans="5:24" ht="15.75" customHeight="1" x14ac:dyDescent="0.3">
      <c r="E297" s="1"/>
      <c r="H297" s="2"/>
      <c r="J297" s="1"/>
      <c r="L297" s="1"/>
      <c r="N297" s="1"/>
      <c r="P297" s="1"/>
      <c r="R297" s="1"/>
      <c r="T297" s="1"/>
      <c r="V297" s="1"/>
      <c r="X297" s="1"/>
    </row>
    <row r="298" spans="5:24" ht="15.75" customHeight="1" x14ac:dyDescent="0.3">
      <c r="E298" s="1"/>
      <c r="H298" s="2"/>
      <c r="J298" s="1"/>
      <c r="L298" s="1"/>
      <c r="N298" s="1"/>
      <c r="P298" s="1"/>
      <c r="R298" s="1"/>
      <c r="T298" s="1"/>
      <c r="V298" s="1"/>
      <c r="X298" s="1"/>
    </row>
    <row r="299" spans="5:24" ht="15.75" customHeight="1" x14ac:dyDescent="0.3">
      <c r="E299" s="1"/>
      <c r="H299" s="2"/>
      <c r="J299" s="1"/>
      <c r="L299" s="1"/>
      <c r="N299" s="1"/>
      <c r="P299" s="1"/>
      <c r="R299" s="1"/>
      <c r="T299" s="1"/>
      <c r="V299" s="1"/>
      <c r="X299" s="1"/>
    </row>
    <row r="300" spans="5:24" ht="15.75" customHeight="1" x14ac:dyDescent="0.3">
      <c r="E300" s="1"/>
      <c r="H300" s="2"/>
      <c r="J300" s="1"/>
      <c r="L300" s="1"/>
      <c r="N300" s="1"/>
      <c r="P300" s="1"/>
      <c r="R300" s="1"/>
      <c r="T300" s="1"/>
      <c r="V300" s="1"/>
      <c r="X300" s="1"/>
    </row>
    <row r="301" spans="5:24" ht="15.75" customHeight="1" x14ac:dyDescent="0.3">
      <c r="E301" s="1"/>
      <c r="H301" s="2"/>
      <c r="J301" s="1"/>
      <c r="L301" s="1"/>
      <c r="N301" s="1"/>
      <c r="P301" s="1"/>
      <c r="R301" s="1"/>
      <c r="T301" s="1"/>
      <c r="V301" s="1"/>
      <c r="X301" s="1"/>
    </row>
    <row r="302" spans="5:24" ht="15.75" customHeight="1" x14ac:dyDescent="0.3">
      <c r="E302" s="1"/>
      <c r="H302" s="2"/>
      <c r="J302" s="1"/>
      <c r="L302" s="1"/>
      <c r="N302" s="1"/>
      <c r="P302" s="1"/>
      <c r="R302" s="1"/>
      <c r="T302" s="1"/>
      <c r="V302" s="1"/>
      <c r="X302" s="1"/>
    </row>
    <row r="303" spans="5:24" ht="15.75" customHeight="1" x14ac:dyDescent="0.3">
      <c r="E303" s="1"/>
      <c r="H303" s="2"/>
      <c r="J303" s="1"/>
      <c r="L303" s="1"/>
      <c r="N303" s="1"/>
      <c r="P303" s="1"/>
      <c r="R303" s="1"/>
      <c r="T303" s="1"/>
      <c r="V303" s="1"/>
      <c r="X303" s="1"/>
    </row>
    <row r="304" spans="5:24" ht="15.75" customHeight="1" x14ac:dyDescent="0.3">
      <c r="E304" s="1"/>
      <c r="H304" s="2"/>
      <c r="J304" s="1"/>
      <c r="L304" s="1"/>
      <c r="N304" s="1"/>
      <c r="P304" s="1"/>
      <c r="R304" s="1"/>
      <c r="T304" s="1"/>
      <c r="V304" s="1"/>
      <c r="X304" s="1"/>
    </row>
    <row r="305" spans="5:24" ht="15.75" customHeight="1" x14ac:dyDescent="0.3">
      <c r="E305" s="1"/>
      <c r="H305" s="2"/>
      <c r="J305" s="1"/>
      <c r="L305" s="1"/>
      <c r="N305" s="1"/>
      <c r="P305" s="1"/>
      <c r="R305" s="1"/>
      <c r="T305" s="1"/>
      <c r="V305" s="1"/>
      <c r="X305" s="1"/>
    </row>
    <row r="306" spans="5:24" ht="15.75" customHeight="1" x14ac:dyDescent="0.3">
      <c r="E306" s="1"/>
      <c r="H306" s="2"/>
      <c r="J306" s="1"/>
      <c r="L306" s="1"/>
      <c r="N306" s="1"/>
      <c r="P306" s="1"/>
      <c r="R306" s="1"/>
      <c r="T306" s="1"/>
      <c r="V306" s="1"/>
      <c r="X306" s="1"/>
    </row>
    <row r="307" spans="5:24" ht="15.75" customHeight="1" x14ac:dyDescent="0.3">
      <c r="E307" s="1"/>
      <c r="H307" s="2"/>
      <c r="J307" s="1"/>
      <c r="L307" s="1"/>
      <c r="N307" s="1"/>
      <c r="P307" s="1"/>
      <c r="R307" s="1"/>
      <c r="T307" s="1"/>
      <c r="V307" s="1"/>
      <c r="X307" s="1"/>
    </row>
    <row r="308" spans="5:24" ht="15.75" customHeight="1" x14ac:dyDescent="0.3">
      <c r="E308" s="1"/>
      <c r="H308" s="2"/>
      <c r="J308" s="1"/>
      <c r="L308" s="1"/>
      <c r="N308" s="1"/>
      <c r="P308" s="1"/>
      <c r="R308" s="1"/>
      <c r="T308" s="1"/>
      <c r="V308" s="1"/>
      <c r="X308" s="1"/>
    </row>
    <row r="309" spans="5:24" ht="15.75" customHeight="1" x14ac:dyDescent="0.3">
      <c r="E309" s="1"/>
      <c r="H309" s="2"/>
      <c r="J309" s="1"/>
      <c r="L309" s="1"/>
      <c r="N309" s="1"/>
      <c r="P309" s="1"/>
      <c r="R309" s="1"/>
      <c r="T309" s="1"/>
      <c r="V309" s="1"/>
      <c r="X309" s="1"/>
    </row>
    <row r="310" spans="5:24" ht="15.75" customHeight="1" x14ac:dyDescent="0.3">
      <c r="E310" s="1"/>
      <c r="H310" s="2"/>
      <c r="J310" s="1"/>
      <c r="L310" s="1"/>
      <c r="N310" s="1"/>
      <c r="P310" s="1"/>
      <c r="R310" s="1"/>
      <c r="T310" s="1"/>
      <c r="V310" s="1"/>
      <c r="X310" s="1"/>
    </row>
    <row r="311" spans="5:24" ht="15.75" customHeight="1" x14ac:dyDescent="0.3">
      <c r="E311" s="1"/>
      <c r="H311" s="2"/>
      <c r="J311" s="1"/>
      <c r="L311" s="1"/>
      <c r="N311" s="1"/>
      <c r="P311" s="1"/>
      <c r="R311" s="1"/>
      <c r="T311" s="1"/>
      <c r="V311" s="1"/>
      <c r="X311" s="1"/>
    </row>
    <row r="312" spans="5:24" ht="15.75" customHeight="1" x14ac:dyDescent="0.3">
      <c r="E312" s="1"/>
      <c r="H312" s="2"/>
      <c r="J312" s="1"/>
      <c r="L312" s="1"/>
      <c r="N312" s="1"/>
      <c r="P312" s="1"/>
      <c r="R312" s="1"/>
      <c r="T312" s="1"/>
      <c r="V312" s="1"/>
      <c r="X312" s="1"/>
    </row>
    <row r="313" spans="5:24" ht="15.75" customHeight="1" x14ac:dyDescent="0.3">
      <c r="E313" s="1"/>
      <c r="H313" s="2"/>
      <c r="J313" s="1"/>
      <c r="L313" s="1"/>
      <c r="N313" s="1"/>
      <c r="P313" s="1"/>
      <c r="R313" s="1"/>
      <c r="T313" s="1"/>
      <c r="V313" s="1"/>
      <c r="X313" s="1"/>
    </row>
    <row r="314" spans="5:24" ht="15.75" customHeight="1" x14ac:dyDescent="0.3">
      <c r="E314" s="1"/>
      <c r="H314" s="2"/>
      <c r="J314" s="1"/>
      <c r="L314" s="1"/>
      <c r="N314" s="1"/>
      <c r="P314" s="1"/>
      <c r="R314" s="1"/>
      <c r="T314" s="1"/>
      <c r="V314" s="1"/>
      <c r="X314" s="1"/>
    </row>
    <row r="315" spans="5:24" ht="15.75" customHeight="1" x14ac:dyDescent="0.3">
      <c r="E315" s="1"/>
      <c r="H315" s="2"/>
      <c r="J315" s="1"/>
      <c r="L315" s="1"/>
      <c r="N315" s="1"/>
      <c r="P315" s="1"/>
      <c r="R315" s="1"/>
      <c r="T315" s="1"/>
      <c r="V315" s="1"/>
      <c r="X315" s="1"/>
    </row>
    <row r="316" spans="5:24" ht="15.75" customHeight="1" x14ac:dyDescent="0.3">
      <c r="E316" s="1"/>
      <c r="H316" s="2"/>
      <c r="J316" s="1"/>
      <c r="L316" s="1"/>
      <c r="N316" s="1"/>
      <c r="P316" s="1"/>
      <c r="R316" s="1"/>
      <c r="T316" s="1"/>
      <c r="V316" s="1"/>
      <c r="X316" s="1"/>
    </row>
    <row r="317" spans="5:24" ht="15.75" customHeight="1" x14ac:dyDescent="0.3">
      <c r="E317" s="1"/>
      <c r="H317" s="2"/>
      <c r="J317" s="1"/>
      <c r="L317" s="1"/>
      <c r="N317" s="1"/>
      <c r="P317" s="1"/>
      <c r="R317" s="1"/>
      <c r="T317" s="1"/>
      <c r="V317" s="1"/>
      <c r="X317" s="1"/>
    </row>
    <row r="318" spans="5:24" ht="15.75" customHeight="1" x14ac:dyDescent="0.3">
      <c r="E318" s="1"/>
      <c r="H318" s="2"/>
      <c r="J318" s="1"/>
      <c r="L318" s="1"/>
      <c r="N318" s="1"/>
      <c r="P318" s="1"/>
      <c r="R318" s="1"/>
      <c r="T318" s="1"/>
      <c r="V318" s="1"/>
      <c r="X318" s="1"/>
    </row>
    <row r="319" spans="5:24" ht="15.75" customHeight="1" x14ac:dyDescent="0.3">
      <c r="E319" s="1"/>
      <c r="H319" s="2"/>
      <c r="J319" s="1"/>
      <c r="L319" s="1"/>
      <c r="N319" s="1"/>
      <c r="P319" s="1"/>
      <c r="R319" s="1"/>
      <c r="T319" s="1"/>
      <c r="V319" s="1"/>
      <c r="X319" s="1"/>
    </row>
    <row r="320" spans="5:24" ht="15.75" customHeight="1" x14ac:dyDescent="0.3">
      <c r="E320" s="1"/>
      <c r="H320" s="2"/>
      <c r="J320" s="1"/>
      <c r="L320" s="1"/>
      <c r="N320" s="1"/>
      <c r="P320" s="1"/>
      <c r="R320" s="1"/>
      <c r="T320" s="1"/>
      <c r="V320" s="1"/>
      <c r="X320" s="1"/>
    </row>
    <row r="321" spans="5:24" ht="15.75" customHeight="1" x14ac:dyDescent="0.3">
      <c r="E321" s="1"/>
      <c r="H321" s="2"/>
      <c r="J321" s="1"/>
      <c r="L321" s="1"/>
      <c r="N321" s="1"/>
      <c r="P321" s="1"/>
      <c r="R321" s="1"/>
      <c r="T321" s="1"/>
      <c r="V321" s="1"/>
      <c r="X321" s="1"/>
    </row>
    <row r="322" spans="5:24" ht="15.75" customHeight="1" x14ac:dyDescent="0.3">
      <c r="E322" s="1"/>
      <c r="H322" s="2"/>
      <c r="J322" s="1"/>
      <c r="L322" s="1"/>
      <c r="N322" s="1"/>
      <c r="P322" s="1"/>
      <c r="R322" s="1"/>
      <c r="T322" s="1"/>
      <c r="V322" s="1"/>
      <c r="X322" s="1"/>
    </row>
    <row r="323" spans="5:24" ht="15.75" customHeight="1" x14ac:dyDescent="0.3">
      <c r="E323" s="1"/>
      <c r="H323" s="2"/>
      <c r="J323" s="1"/>
      <c r="L323" s="1"/>
      <c r="N323" s="1"/>
      <c r="P323" s="1"/>
      <c r="R323" s="1"/>
      <c r="T323" s="1"/>
      <c r="V323" s="1"/>
      <c r="X323" s="1"/>
    </row>
    <row r="324" spans="5:24" ht="15.75" customHeight="1" x14ac:dyDescent="0.3">
      <c r="E324" s="1"/>
      <c r="H324" s="2"/>
      <c r="J324" s="1"/>
      <c r="L324" s="1"/>
      <c r="N324" s="1"/>
      <c r="P324" s="1"/>
      <c r="R324" s="1"/>
      <c r="T324" s="1"/>
      <c r="V324" s="1"/>
      <c r="X324" s="1"/>
    </row>
    <row r="325" spans="5:24" ht="15.75" customHeight="1" x14ac:dyDescent="0.3">
      <c r="E325" s="1"/>
      <c r="H325" s="2"/>
      <c r="J325" s="1"/>
      <c r="L325" s="1"/>
      <c r="N325" s="1"/>
      <c r="P325" s="1"/>
      <c r="R325" s="1"/>
      <c r="T325" s="1"/>
      <c r="V325" s="1"/>
      <c r="X325" s="1"/>
    </row>
    <row r="326" spans="5:24" ht="15.75" customHeight="1" x14ac:dyDescent="0.3">
      <c r="E326" s="1"/>
      <c r="H326" s="2"/>
      <c r="J326" s="1"/>
      <c r="L326" s="1"/>
      <c r="N326" s="1"/>
      <c r="P326" s="1"/>
      <c r="R326" s="1"/>
      <c r="T326" s="1"/>
      <c r="V326" s="1"/>
      <c r="X326" s="1"/>
    </row>
    <row r="327" spans="5:24" ht="15.75" customHeight="1" x14ac:dyDescent="0.3">
      <c r="E327" s="1"/>
      <c r="H327" s="2"/>
      <c r="J327" s="1"/>
      <c r="L327" s="1"/>
      <c r="N327" s="1"/>
      <c r="P327" s="1"/>
      <c r="R327" s="1"/>
      <c r="T327" s="1"/>
      <c r="V327" s="1"/>
      <c r="X327" s="1"/>
    </row>
    <row r="328" spans="5:24" ht="15.75" customHeight="1" x14ac:dyDescent="0.3">
      <c r="E328" s="1"/>
      <c r="H328" s="2"/>
      <c r="J328" s="1"/>
      <c r="L328" s="1"/>
      <c r="N328" s="1"/>
      <c r="P328" s="1"/>
      <c r="R328" s="1"/>
      <c r="T328" s="1"/>
      <c r="V328" s="1"/>
      <c r="X328" s="1"/>
    </row>
    <row r="329" spans="5:24" ht="15.75" customHeight="1" x14ac:dyDescent="0.3">
      <c r="E329" s="1"/>
      <c r="H329" s="2"/>
      <c r="J329" s="1"/>
      <c r="L329" s="1"/>
      <c r="N329" s="1"/>
      <c r="P329" s="1"/>
      <c r="R329" s="1"/>
      <c r="T329" s="1"/>
      <c r="V329" s="1"/>
      <c r="X329" s="1"/>
    </row>
    <row r="330" spans="5:24" ht="15.75" customHeight="1" x14ac:dyDescent="0.3">
      <c r="E330" s="1"/>
      <c r="H330" s="2"/>
      <c r="J330" s="1"/>
      <c r="L330" s="1"/>
      <c r="N330" s="1"/>
      <c r="P330" s="1"/>
      <c r="R330" s="1"/>
      <c r="T330" s="1"/>
      <c r="V330" s="1"/>
      <c r="X330" s="1"/>
    </row>
    <row r="331" spans="5:24" ht="15.75" customHeight="1" x14ac:dyDescent="0.3">
      <c r="E331" s="1"/>
      <c r="H331" s="2"/>
      <c r="J331" s="1"/>
      <c r="L331" s="1"/>
      <c r="N331" s="1"/>
      <c r="P331" s="1"/>
      <c r="R331" s="1"/>
      <c r="T331" s="1"/>
      <c r="V331" s="1"/>
      <c r="X331" s="1"/>
    </row>
    <row r="332" spans="5:24" ht="15.75" customHeight="1" x14ac:dyDescent="0.3">
      <c r="E332" s="1"/>
      <c r="H332" s="2"/>
      <c r="J332" s="1"/>
      <c r="L332" s="1"/>
      <c r="N332" s="1"/>
      <c r="P332" s="1"/>
      <c r="R332" s="1"/>
      <c r="T332" s="1"/>
      <c r="V332" s="1"/>
      <c r="X332" s="1"/>
    </row>
    <row r="333" spans="5:24" ht="15.75" customHeight="1" x14ac:dyDescent="0.3">
      <c r="E333" s="1"/>
      <c r="H333" s="2"/>
      <c r="J333" s="1"/>
      <c r="L333" s="1"/>
      <c r="N333" s="1"/>
      <c r="P333" s="1"/>
      <c r="R333" s="1"/>
      <c r="T333" s="1"/>
      <c r="V333" s="1"/>
      <c r="X333" s="1"/>
    </row>
    <row r="334" spans="5:24" ht="15.75" customHeight="1" x14ac:dyDescent="0.3">
      <c r="E334" s="1"/>
      <c r="H334" s="2"/>
      <c r="J334" s="1"/>
      <c r="L334" s="1"/>
      <c r="N334" s="1"/>
      <c r="P334" s="1"/>
      <c r="R334" s="1"/>
      <c r="T334" s="1"/>
      <c r="V334" s="1"/>
      <c r="X334" s="1"/>
    </row>
    <row r="335" spans="5:24" ht="15.75" customHeight="1" x14ac:dyDescent="0.3">
      <c r="E335" s="1"/>
      <c r="H335" s="2"/>
      <c r="J335" s="1"/>
      <c r="L335" s="1"/>
      <c r="N335" s="1"/>
      <c r="P335" s="1"/>
      <c r="R335" s="1"/>
      <c r="T335" s="1"/>
      <c r="V335" s="1"/>
      <c r="X335" s="1"/>
    </row>
    <row r="336" spans="5:24" ht="15.75" customHeight="1" x14ac:dyDescent="0.3">
      <c r="E336" s="1"/>
      <c r="H336" s="2"/>
      <c r="J336" s="1"/>
      <c r="L336" s="1"/>
      <c r="N336" s="1"/>
      <c r="P336" s="1"/>
      <c r="R336" s="1"/>
      <c r="T336" s="1"/>
      <c r="V336" s="1"/>
      <c r="X336" s="1"/>
    </row>
    <row r="337" spans="5:24" ht="15.75" customHeight="1" x14ac:dyDescent="0.3">
      <c r="E337" s="1"/>
      <c r="H337" s="2"/>
      <c r="J337" s="1"/>
      <c r="L337" s="1"/>
      <c r="N337" s="1"/>
      <c r="P337" s="1"/>
      <c r="R337" s="1"/>
      <c r="T337" s="1"/>
      <c r="V337" s="1"/>
      <c r="X337" s="1"/>
    </row>
    <row r="338" spans="5:24" ht="15.75" customHeight="1" x14ac:dyDescent="0.3">
      <c r="E338" s="1"/>
      <c r="H338" s="2"/>
      <c r="J338" s="1"/>
      <c r="L338" s="1"/>
      <c r="N338" s="1"/>
      <c r="P338" s="1"/>
      <c r="R338" s="1"/>
      <c r="T338" s="1"/>
      <c r="V338" s="1"/>
      <c r="X338" s="1"/>
    </row>
    <row r="339" spans="5:24" ht="15.75" customHeight="1" x14ac:dyDescent="0.3">
      <c r="E339" s="1"/>
      <c r="H339" s="2"/>
      <c r="J339" s="1"/>
      <c r="L339" s="1"/>
      <c r="N339" s="1"/>
      <c r="P339" s="1"/>
      <c r="R339" s="1"/>
      <c r="T339" s="1"/>
      <c r="V339" s="1"/>
      <c r="X339" s="1"/>
    </row>
    <row r="340" spans="5:24" ht="15.75" customHeight="1" x14ac:dyDescent="0.3">
      <c r="E340" s="1"/>
      <c r="H340" s="2"/>
      <c r="J340" s="1"/>
      <c r="L340" s="1"/>
      <c r="N340" s="1"/>
      <c r="P340" s="1"/>
      <c r="R340" s="1"/>
      <c r="T340" s="1"/>
      <c r="V340" s="1"/>
      <c r="X340" s="1"/>
    </row>
    <row r="341" spans="5:24" ht="15.75" customHeight="1" x14ac:dyDescent="0.3">
      <c r="E341" s="1"/>
      <c r="H341" s="2"/>
      <c r="J341" s="1"/>
      <c r="L341" s="1"/>
      <c r="N341" s="1"/>
      <c r="P341" s="1"/>
      <c r="R341" s="1"/>
      <c r="T341" s="1"/>
      <c r="V341" s="1"/>
      <c r="X341" s="1"/>
    </row>
    <row r="342" spans="5:24" ht="15.75" customHeight="1" x14ac:dyDescent="0.3">
      <c r="E342" s="1"/>
      <c r="H342" s="2"/>
      <c r="J342" s="1"/>
      <c r="L342" s="1"/>
      <c r="N342" s="1"/>
      <c r="P342" s="1"/>
      <c r="R342" s="1"/>
      <c r="T342" s="1"/>
      <c r="V342" s="1"/>
      <c r="X342" s="1"/>
    </row>
    <row r="343" spans="5:24" ht="15.75" customHeight="1" x14ac:dyDescent="0.3">
      <c r="E343" s="1"/>
      <c r="H343" s="2"/>
      <c r="J343" s="1"/>
      <c r="L343" s="1"/>
      <c r="N343" s="1"/>
      <c r="P343" s="1"/>
      <c r="R343" s="1"/>
      <c r="T343" s="1"/>
      <c r="V343" s="1"/>
      <c r="X343" s="1"/>
    </row>
    <row r="344" spans="5:24" ht="15.75" customHeight="1" x14ac:dyDescent="0.3">
      <c r="E344" s="1"/>
      <c r="H344" s="2"/>
      <c r="J344" s="1"/>
      <c r="L344" s="1"/>
      <c r="N344" s="1"/>
      <c r="P344" s="1"/>
      <c r="R344" s="1"/>
      <c r="T344" s="1"/>
      <c r="V344" s="1"/>
      <c r="X344" s="1"/>
    </row>
    <row r="345" spans="5:24" ht="15.75" customHeight="1" x14ac:dyDescent="0.3">
      <c r="E345" s="1"/>
      <c r="H345" s="2"/>
      <c r="J345" s="1"/>
      <c r="L345" s="1"/>
      <c r="N345" s="1"/>
      <c r="P345" s="1"/>
      <c r="R345" s="1"/>
      <c r="T345" s="1"/>
      <c r="V345" s="1"/>
      <c r="X345" s="1"/>
    </row>
    <row r="346" spans="5:24" ht="15.75" customHeight="1" x14ac:dyDescent="0.3">
      <c r="E346" s="1"/>
      <c r="H346" s="2"/>
      <c r="J346" s="1"/>
      <c r="L346" s="1"/>
      <c r="N346" s="1"/>
      <c r="P346" s="1"/>
      <c r="R346" s="1"/>
      <c r="T346" s="1"/>
      <c r="V346" s="1"/>
      <c r="X346" s="1"/>
    </row>
    <row r="347" spans="5:24" ht="15.75" customHeight="1" x14ac:dyDescent="0.3">
      <c r="E347" s="1"/>
      <c r="H347" s="2"/>
      <c r="J347" s="1"/>
      <c r="L347" s="1"/>
      <c r="N347" s="1"/>
      <c r="P347" s="1"/>
      <c r="R347" s="1"/>
      <c r="T347" s="1"/>
      <c r="V347" s="1"/>
      <c r="X347" s="1"/>
    </row>
    <row r="348" spans="5:24" ht="15.75" customHeight="1" x14ac:dyDescent="0.3">
      <c r="E348" s="1"/>
      <c r="H348" s="2"/>
      <c r="J348" s="1"/>
      <c r="L348" s="1"/>
      <c r="N348" s="1"/>
      <c r="P348" s="1"/>
      <c r="R348" s="1"/>
      <c r="T348" s="1"/>
      <c r="V348" s="1"/>
      <c r="X348" s="1"/>
    </row>
    <row r="349" spans="5:24" ht="15.75" customHeight="1" x14ac:dyDescent="0.3">
      <c r="E349" s="1"/>
      <c r="H349" s="2"/>
      <c r="J349" s="1"/>
      <c r="L349" s="1"/>
      <c r="N349" s="1"/>
      <c r="P349" s="1"/>
      <c r="R349" s="1"/>
      <c r="T349" s="1"/>
      <c r="V349" s="1"/>
      <c r="X349" s="1"/>
    </row>
    <row r="350" spans="5:24" ht="15.75" customHeight="1" x14ac:dyDescent="0.3">
      <c r="E350" s="1"/>
      <c r="H350" s="2"/>
      <c r="J350" s="1"/>
      <c r="L350" s="1"/>
      <c r="N350" s="1"/>
      <c r="P350" s="1"/>
      <c r="R350" s="1"/>
      <c r="T350" s="1"/>
      <c r="V350" s="1"/>
      <c r="X350" s="1"/>
    </row>
    <row r="351" spans="5:24" ht="15.75" customHeight="1" x14ac:dyDescent="0.3">
      <c r="E351" s="1"/>
      <c r="H351" s="2"/>
      <c r="J351" s="1"/>
      <c r="L351" s="1"/>
      <c r="N351" s="1"/>
      <c r="P351" s="1"/>
      <c r="R351" s="1"/>
      <c r="T351" s="1"/>
      <c r="V351" s="1"/>
      <c r="X351" s="1"/>
    </row>
    <row r="352" spans="5:24" ht="15.75" customHeight="1" x14ac:dyDescent="0.3">
      <c r="E352" s="1"/>
      <c r="H352" s="2"/>
      <c r="J352" s="1"/>
      <c r="L352" s="1"/>
      <c r="N352" s="1"/>
      <c r="P352" s="1"/>
      <c r="R352" s="1"/>
      <c r="T352" s="1"/>
      <c r="V352" s="1"/>
      <c r="X352" s="1"/>
    </row>
    <row r="353" spans="5:24" ht="15.75" customHeight="1" x14ac:dyDescent="0.3">
      <c r="E353" s="1"/>
      <c r="H353" s="2"/>
      <c r="J353" s="1"/>
      <c r="L353" s="1"/>
      <c r="N353" s="1"/>
      <c r="P353" s="1"/>
      <c r="R353" s="1"/>
      <c r="T353" s="1"/>
      <c r="V353" s="1"/>
      <c r="X353" s="1"/>
    </row>
    <row r="354" spans="5:24" ht="15.75" customHeight="1" x14ac:dyDescent="0.3">
      <c r="E354" s="1"/>
      <c r="H354" s="2"/>
      <c r="J354" s="1"/>
      <c r="L354" s="1"/>
      <c r="N354" s="1"/>
      <c r="P354" s="1"/>
      <c r="R354" s="1"/>
      <c r="T354" s="1"/>
      <c r="V354" s="1"/>
      <c r="X354" s="1"/>
    </row>
    <row r="355" spans="5:24" ht="15.75" customHeight="1" x14ac:dyDescent="0.3">
      <c r="E355" s="1"/>
      <c r="H355" s="2"/>
      <c r="J355" s="1"/>
      <c r="L355" s="1"/>
      <c r="N355" s="1"/>
      <c r="P355" s="1"/>
      <c r="R355" s="1"/>
      <c r="T355" s="1"/>
      <c r="V355" s="1"/>
      <c r="X355" s="1"/>
    </row>
    <row r="356" spans="5:24" ht="15.75" customHeight="1" x14ac:dyDescent="0.3">
      <c r="E356" s="1"/>
      <c r="H356" s="2"/>
      <c r="J356" s="1"/>
      <c r="L356" s="1"/>
      <c r="N356" s="1"/>
      <c r="P356" s="1"/>
      <c r="R356" s="1"/>
      <c r="T356" s="1"/>
      <c r="V356" s="1"/>
      <c r="X356" s="1"/>
    </row>
    <row r="357" spans="5:24" ht="15.75" customHeight="1" x14ac:dyDescent="0.3">
      <c r="E357" s="1"/>
      <c r="H357" s="2"/>
      <c r="J357" s="1"/>
      <c r="L357" s="1"/>
      <c r="N357" s="1"/>
      <c r="P357" s="1"/>
      <c r="R357" s="1"/>
      <c r="T357" s="1"/>
      <c r="V357" s="1"/>
      <c r="X357" s="1"/>
    </row>
    <row r="358" spans="5:24" ht="15.75" customHeight="1" x14ac:dyDescent="0.3">
      <c r="E358" s="1"/>
      <c r="H358" s="2"/>
      <c r="J358" s="1"/>
      <c r="L358" s="1"/>
      <c r="N358" s="1"/>
      <c r="P358" s="1"/>
      <c r="R358" s="1"/>
      <c r="T358" s="1"/>
      <c r="V358" s="1"/>
      <c r="X358" s="1"/>
    </row>
    <row r="359" spans="5:24" ht="15.75" customHeight="1" x14ac:dyDescent="0.3">
      <c r="E359" s="1"/>
      <c r="H359" s="2"/>
      <c r="J359" s="1"/>
      <c r="L359" s="1"/>
      <c r="N359" s="1"/>
      <c r="P359" s="1"/>
      <c r="R359" s="1"/>
      <c r="T359" s="1"/>
      <c r="V359" s="1"/>
      <c r="X359" s="1"/>
    </row>
    <row r="360" spans="5:24" ht="15.75" customHeight="1" x14ac:dyDescent="0.3">
      <c r="E360" s="1"/>
      <c r="H360" s="2"/>
      <c r="J360" s="1"/>
      <c r="L360" s="1"/>
      <c r="N360" s="1"/>
      <c r="P360" s="1"/>
      <c r="R360" s="1"/>
      <c r="T360" s="1"/>
      <c r="V360" s="1"/>
      <c r="X360" s="1"/>
    </row>
    <row r="361" spans="5:24" ht="15.75" customHeight="1" x14ac:dyDescent="0.3">
      <c r="E361" s="1"/>
      <c r="H361" s="2"/>
      <c r="J361" s="1"/>
      <c r="L361" s="1"/>
      <c r="N361" s="1"/>
      <c r="P361" s="1"/>
      <c r="R361" s="1"/>
      <c r="T361" s="1"/>
      <c r="V361" s="1"/>
      <c r="X361" s="1"/>
    </row>
    <row r="362" spans="5:24" ht="15.75" customHeight="1" x14ac:dyDescent="0.3">
      <c r="E362" s="1"/>
      <c r="H362" s="2"/>
      <c r="J362" s="1"/>
      <c r="L362" s="1"/>
      <c r="N362" s="1"/>
      <c r="P362" s="1"/>
      <c r="R362" s="1"/>
      <c r="T362" s="1"/>
      <c r="V362" s="1"/>
      <c r="X362" s="1"/>
    </row>
    <row r="363" spans="5:24" ht="15.75" customHeight="1" x14ac:dyDescent="0.3">
      <c r="E363" s="1"/>
      <c r="H363" s="2"/>
      <c r="J363" s="1"/>
      <c r="L363" s="1"/>
      <c r="N363" s="1"/>
      <c r="P363" s="1"/>
      <c r="R363" s="1"/>
      <c r="T363" s="1"/>
      <c r="V363" s="1"/>
      <c r="X363" s="1"/>
    </row>
    <row r="364" spans="5:24" ht="15.75" customHeight="1" x14ac:dyDescent="0.3">
      <c r="E364" s="1"/>
      <c r="H364" s="2"/>
      <c r="J364" s="1"/>
      <c r="L364" s="1"/>
      <c r="N364" s="1"/>
      <c r="P364" s="1"/>
      <c r="R364" s="1"/>
      <c r="T364" s="1"/>
      <c r="V364" s="1"/>
      <c r="X364" s="1"/>
    </row>
    <row r="365" spans="5:24" ht="15.75" customHeight="1" x14ac:dyDescent="0.3">
      <c r="E365" s="1"/>
      <c r="H365" s="2"/>
      <c r="J365" s="1"/>
      <c r="L365" s="1"/>
      <c r="N365" s="1"/>
      <c r="P365" s="1"/>
      <c r="R365" s="1"/>
      <c r="T365" s="1"/>
      <c r="V365" s="1"/>
      <c r="X365" s="1"/>
    </row>
    <row r="366" spans="5:24" ht="15.75" customHeight="1" x14ac:dyDescent="0.3">
      <c r="E366" s="1"/>
      <c r="H366" s="2"/>
      <c r="J366" s="1"/>
      <c r="L366" s="1"/>
      <c r="N366" s="1"/>
      <c r="P366" s="1"/>
      <c r="R366" s="1"/>
      <c r="T366" s="1"/>
      <c r="V366" s="1"/>
      <c r="X366" s="1"/>
    </row>
    <row r="367" spans="5:24" ht="15.75" customHeight="1" x14ac:dyDescent="0.3">
      <c r="E367" s="1"/>
      <c r="H367" s="2"/>
      <c r="J367" s="1"/>
      <c r="L367" s="1"/>
      <c r="N367" s="1"/>
      <c r="P367" s="1"/>
      <c r="R367" s="1"/>
      <c r="T367" s="1"/>
      <c r="V367" s="1"/>
      <c r="X367" s="1"/>
    </row>
    <row r="368" spans="5:24" ht="15.75" customHeight="1" x14ac:dyDescent="0.3">
      <c r="E368" s="1"/>
      <c r="H368" s="2"/>
      <c r="J368" s="1"/>
      <c r="L368" s="1"/>
      <c r="N368" s="1"/>
      <c r="P368" s="1"/>
      <c r="R368" s="1"/>
      <c r="T368" s="1"/>
      <c r="V368" s="1"/>
      <c r="X368" s="1"/>
    </row>
    <row r="369" spans="5:24" ht="15.75" customHeight="1" x14ac:dyDescent="0.3">
      <c r="E369" s="1"/>
      <c r="H369" s="2"/>
      <c r="J369" s="1"/>
      <c r="L369" s="1"/>
      <c r="N369" s="1"/>
      <c r="P369" s="1"/>
      <c r="R369" s="1"/>
      <c r="T369" s="1"/>
      <c r="V369" s="1"/>
      <c r="X369" s="1"/>
    </row>
    <row r="370" spans="5:24" ht="15.75" customHeight="1" x14ac:dyDescent="0.3">
      <c r="E370" s="1"/>
      <c r="H370" s="2"/>
      <c r="J370" s="1"/>
      <c r="L370" s="1"/>
      <c r="N370" s="1"/>
      <c r="P370" s="1"/>
      <c r="R370" s="1"/>
      <c r="T370" s="1"/>
      <c r="V370" s="1"/>
      <c r="X370" s="1"/>
    </row>
    <row r="371" spans="5:24" ht="15.75" customHeight="1" x14ac:dyDescent="0.3">
      <c r="E371" s="1"/>
      <c r="H371" s="2"/>
      <c r="J371" s="1"/>
      <c r="L371" s="1"/>
      <c r="N371" s="1"/>
      <c r="P371" s="1"/>
      <c r="R371" s="1"/>
      <c r="T371" s="1"/>
      <c r="V371" s="1"/>
      <c r="X371" s="1"/>
    </row>
    <row r="372" spans="5:24" ht="15.75" customHeight="1" x14ac:dyDescent="0.3">
      <c r="E372" s="1"/>
      <c r="H372" s="2"/>
      <c r="J372" s="1"/>
      <c r="L372" s="1"/>
      <c r="N372" s="1"/>
      <c r="P372" s="1"/>
      <c r="R372" s="1"/>
      <c r="T372" s="1"/>
      <c r="V372" s="1"/>
      <c r="X372" s="1"/>
    </row>
    <row r="373" spans="5:24" ht="15.75" customHeight="1" x14ac:dyDescent="0.3">
      <c r="E373" s="1"/>
      <c r="H373" s="2"/>
      <c r="J373" s="1"/>
      <c r="L373" s="1"/>
      <c r="N373" s="1"/>
      <c r="P373" s="1"/>
      <c r="R373" s="1"/>
      <c r="T373" s="1"/>
      <c r="V373" s="1"/>
      <c r="X373" s="1"/>
    </row>
    <row r="374" spans="5:24" ht="15.75" customHeight="1" x14ac:dyDescent="0.3">
      <c r="E374" s="1"/>
      <c r="H374" s="2"/>
      <c r="J374" s="1"/>
      <c r="L374" s="1"/>
      <c r="N374" s="1"/>
      <c r="P374" s="1"/>
      <c r="R374" s="1"/>
      <c r="T374" s="1"/>
      <c r="V374" s="1"/>
      <c r="X374" s="1"/>
    </row>
    <row r="375" spans="5:24" ht="15.75" customHeight="1" x14ac:dyDescent="0.3">
      <c r="E375" s="1"/>
      <c r="H375" s="2"/>
      <c r="J375" s="1"/>
      <c r="L375" s="1"/>
      <c r="N375" s="1"/>
      <c r="P375" s="1"/>
      <c r="R375" s="1"/>
      <c r="T375" s="1"/>
      <c r="V375" s="1"/>
      <c r="X375" s="1"/>
    </row>
    <row r="376" spans="5:24" ht="15.75" customHeight="1" x14ac:dyDescent="0.3">
      <c r="E376" s="1"/>
      <c r="H376" s="2"/>
      <c r="J376" s="1"/>
      <c r="L376" s="1"/>
      <c r="N376" s="1"/>
      <c r="P376" s="1"/>
      <c r="R376" s="1"/>
      <c r="T376" s="1"/>
      <c r="V376" s="1"/>
      <c r="X376" s="1"/>
    </row>
    <row r="377" spans="5:24" ht="15.75" customHeight="1" x14ac:dyDescent="0.3">
      <c r="E377" s="1"/>
      <c r="H377" s="2"/>
      <c r="J377" s="1"/>
      <c r="L377" s="1"/>
      <c r="N377" s="1"/>
      <c r="P377" s="1"/>
      <c r="R377" s="1"/>
      <c r="T377" s="1"/>
      <c r="V377" s="1"/>
      <c r="X377" s="1"/>
    </row>
    <row r="378" spans="5:24" ht="15.75" customHeight="1" x14ac:dyDescent="0.3">
      <c r="E378" s="1"/>
      <c r="H378" s="2"/>
      <c r="J378" s="1"/>
      <c r="L378" s="1"/>
      <c r="N378" s="1"/>
      <c r="P378" s="1"/>
      <c r="R378" s="1"/>
      <c r="T378" s="1"/>
      <c r="V378" s="1"/>
      <c r="X378" s="1"/>
    </row>
    <row r="379" spans="5:24" ht="15.75" customHeight="1" x14ac:dyDescent="0.3">
      <c r="E379" s="1"/>
      <c r="H379" s="2"/>
      <c r="J379" s="1"/>
      <c r="L379" s="1"/>
      <c r="N379" s="1"/>
      <c r="P379" s="1"/>
      <c r="R379" s="1"/>
      <c r="T379" s="1"/>
      <c r="V379" s="1"/>
      <c r="X379" s="1"/>
    </row>
    <row r="380" spans="5:24" ht="15.75" customHeight="1" x14ac:dyDescent="0.3">
      <c r="E380" s="1"/>
      <c r="H380" s="2"/>
      <c r="J380" s="1"/>
      <c r="L380" s="1"/>
      <c r="N380" s="1"/>
      <c r="P380" s="1"/>
      <c r="R380" s="1"/>
      <c r="T380" s="1"/>
      <c r="V380" s="1"/>
      <c r="X380" s="1"/>
    </row>
    <row r="381" spans="5:24" ht="15.75" customHeight="1" x14ac:dyDescent="0.3">
      <c r="E381" s="1"/>
      <c r="H381" s="2"/>
      <c r="J381" s="1"/>
      <c r="L381" s="1"/>
      <c r="N381" s="1"/>
      <c r="P381" s="1"/>
      <c r="R381" s="1"/>
      <c r="T381" s="1"/>
      <c r="V381" s="1"/>
      <c r="X381" s="1"/>
    </row>
    <row r="382" spans="5:24" ht="15.75" customHeight="1" x14ac:dyDescent="0.3">
      <c r="E382" s="1"/>
      <c r="H382" s="2"/>
      <c r="J382" s="1"/>
      <c r="L382" s="1"/>
      <c r="N382" s="1"/>
      <c r="P382" s="1"/>
      <c r="R382" s="1"/>
      <c r="T382" s="1"/>
      <c r="V382" s="1"/>
      <c r="X382" s="1"/>
    </row>
    <row r="383" spans="5:24" ht="15.75" customHeight="1" x14ac:dyDescent="0.3">
      <c r="E383" s="1"/>
      <c r="H383" s="2"/>
      <c r="J383" s="1"/>
      <c r="L383" s="1"/>
      <c r="N383" s="1"/>
      <c r="P383" s="1"/>
      <c r="R383" s="1"/>
      <c r="T383" s="1"/>
      <c r="V383" s="1"/>
      <c r="X383" s="1"/>
    </row>
    <row r="384" spans="5:24" ht="15.75" customHeight="1" x14ac:dyDescent="0.3">
      <c r="E384" s="1"/>
      <c r="H384" s="2"/>
      <c r="J384" s="1"/>
      <c r="L384" s="1"/>
      <c r="N384" s="1"/>
      <c r="P384" s="1"/>
      <c r="R384" s="1"/>
      <c r="T384" s="1"/>
      <c r="V384" s="1"/>
      <c r="X384" s="1"/>
    </row>
    <row r="385" spans="5:24" ht="15.75" customHeight="1" x14ac:dyDescent="0.3">
      <c r="E385" s="1"/>
      <c r="H385" s="2"/>
      <c r="J385" s="1"/>
      <c r="L385" s="1"/>
      <c r="N385" s="1"/>
      <c r="P385" s="1"/>
      <c r="R385" s="1"/>
      <c r="T385" s="1"/>
      <c r="V385" s="1"/>
      <c r="X385" s="1"/>
    </row>
    <row r="386" spans="5:24" ht="15.75" customHeight="1" x14ac:dyDescent="0.3">
      <c r="E386" s="1"/>
      <c r="H386" s="2"/>
      <c r="J386" s="1"/>
      <c r="L386" s="1"/>
      <c r="N386" s="1"/>
      <c r="P386" s="1"/>
      <c r="R386" s="1"/>
      <c r="T386" s="1"/>
      <c r="V386" s="1"/>
      <c r="X386" s="1"/>
    </row>
    <row r="387" spans="5:24" ht="15.75" customHeight="1" x14ac:dyDescent="0.3">
      <c r="E387" s="1"/>
      <c r="H387" s="2"/>
      <c r="J387" s="1"/>
      <c r="L387" s="1"/>
      <c r="N387" s="1"/>
      <c r="P387" s="1"/>
      <c r="R387" s="1"/>
      <c r="T387" s="1"/>
      <c r="V387" s="1"/>
      <c r="X387" s="1"/>
    </row>
    <row r="388" spans="5:24" ht="15.75" customHeight="1" x14ac:dyDescent="0.3">
      <c r="E388" s="1"/>
      <c r="H388" s="2"/>
      <c r="J388" s="1"/>
      <c r="L388" s="1"/>
      <c r="N388" s="1"/>
      <c r="P388" s="1"/>
      <c r="R388" s="1"/>
      <c r="T388" s="1"/>
      <c r="V388" s="1"/>
      <c r="X388" s="1"/>
    </row>
    <row r="389" spans="5:24" ht="15.75" customHeight="1" x14ac:dyDescent="0.3">
      <c r="E389" s="1"/>
      <c r="H389" s="2"/>
      <c r="J389" s="1"/>
      <c r="L389" s="1"/>
      <c r="N389" s="1"/>
      <c r="P389" s="1"/>
      <c r="R389" s="1"/>
      <c r="T389" s="1"/>
      <c r="V389" s="1"/>
      <c r="X389" s="1"/>
    </row>
    <row r="390" spans="5:24" ht="15.75" customHeight="1" x14ac:dyDescent="0.3">
      <c r="E390" s="1"/>
      <c r="H390" s="2"/>
      <c r="J390" s="1"/>
      <c r="L390" s="1"/>
      <c r="N390" s="1"/>
      <c r="P390" s="1"/>
      <c r="R390" s="1"/>
      <c r="T390" s="1"/>
      <c r="V390" s="1"/>
      <c r="X390" s="1"/>
    </row>
    <row r="391" spans="5:24" ht="15.75" customHeight="1" x14ac:dyDescent="0.3">
      <c r="E391" s="1"/>
      <c r="H391" s="2"/>
      <c r="J391" s="1"/>
      <c r="L391" s="1"/>
      <c r="N391" s="1"/>
      <c r="P391" s="1"/>
      <c r="R391" s="1"/>
      <c r="T391" s="1"/>
      <c r="V391" s="1"/>
      <c r="X391" s="1"/>
    </row>
    <row r="392" spans="5:24" ht="15.75" customHeight="1" x14ac:dyDescent="0.3">
      <c r="E392" s="1"/>
      <c r="H392" s="2"/>
      <c r="J392" s="1"/>
      <c r="L392" s="1"/>
      <c r="N392" s="1"/>
      <c r="P392" s="1"/>
      <c r="R392" s="1"/>
      <c r="T392" s="1"/>
      <c r="V392" s="1"/>
      <c r="X392" s="1"/>
    </row>
    <row r="393" spans="5:24" ht="15.75" customHeight="1" x14ac:dyDescent="0.3">
      <c r="E393" s="1"/>
      <c r="H393" s="2"/>
      <c r="J393" s="1"/>
      <c r="L393" s="1"/>
      <c r="N393" s="1"/>
      <c r="P393" s="1"/>
      <c r="R393" s="1"/>
      <c r="T393" s="1"/>
      <c r="V393" s="1"/>
      <c r="X393" s="1"/>
    </row>
    <row r="394" spans="5:24" ht="15.75" customHeight="1" x14ac:dyDescent="0.3">
      <c r="E394" s="1"/>
      <c r="H394" s="2"/>
      <c r="J394" s="1"/>
      <c r="L394" s="1"/>
      <c r="N394" s="1"/>
      <c r="P394" s="1"/>
      <c r="R394" s="1"/>
      <c r="T394" s="1"/>
      <c r="V394" s="1"/>
      <c r="X394" s="1"/>
    </row>
    <row r="395" spans="5:24" ht="15.75" customHeight="1" x14ac:dyDescent="0.3">
      <c r="E395" s="1"/>
      <c r="H395" s="2"/>
      <c r="J395" s="1"/>
      <c r="L395" s="1"/>
      <c r="N395" s="1"/>
      <c r="P395" s="1"/>
      <c r="R395" s="1"/>
      <c r="T395" s="1"/>
      <c r="V395" s="1"/>
      <c r="X395" s="1"/>
    </row>
    <row r="396" spans="5:24" ht="15.75" customHeight="1" x14ac:dyDescent="0.3">
      <c r="E396" s="1"/>
      <c r="H396" s="2"/>
      <c r="J396" s="1"/>
      <c r="L396" s="1"/>
      <c r="N396" s="1"/>
      <c r="P396" s="1"/>
      <c r="R396" s="1"/>
      <c r="T396" s="1"/>
      <c r="V396" s="1"/>
      <c r="X396" s="1"/>
    </row>
    <row r="397" spans="5:24" ht="15.75" customHeight="1" x14ac:dyDescent="0.3">
      <c r="E397" s="1"/>
      <c r="H397" s="2"/>
      <c r="J397" s="1"/>
      <c r="L397" s="1"/>
      <c r="N397" s="1"/>
      <c r="P397" s="1"/>
      <c r="R397" s="1"/>
      <c r="T397" s="1"/>
      <c r="V397" s="1"/>
      <c r="X397" s="1"/>
    </row>
    <row r="398" spans="5:24" ht="15.75" customHeight="1" x14ac:dyDescent="0.3">
      <c r="E398" s="1"/>
      <c r="H398" s="2"/>
      <c r="J398" s="1"/>
      <c r="L398" s="1"/>
      <c r="N398" s="1"/>
      <c r="P398" s="1"/>
      <c r="R398" s="1"/>
      <c r="T398" s="1"/>
      <c r="V398" s="1"/>
      <c r="X398" s="1"/>
    </row>
    <row r="399" spans="5:24" ht="15.75" customHeight="1" x14ac:dyDescent="0.3">
      <c r="E399" s="1"/>
      <c r="H399" s="2"/>
      <c r="J399" s="1"/>
      <c r="L399" s="1"/>
      <c r="N399" s="1"/>
      <c r="P399" s="1"/>
      <c r="R399" s="1"/>
      <c r="T399" s="1"/>
      <c r="V399" s="1"/>
      <c r="X399" s="1"/>
    </row>
    <row r="400" spans="5:24" ht="15.75" customHeight="1" x14ac:dyDescent="0.3">
      <c r="E400" s="1"/>
      <c r="H400" s="2"/>
      <c r="J400" s="1"/>
      <c r="L400" s="1"/>
      <c r="N400" s="1"/>
      <c r="P400" s="1"/>
      <c r="R400" s="1"/>
      <c r="T400" s="1"/>
      <c r="V400" s="1"/>
      <c r="X400" s="1"/>
    </row>
    <row r="401" spans="5:24" ht="15.75" customHeight="1" x14ac:dyDescent="0.3">
      <c r="E401" s="1"/>
      <c r="H401" s="2"/>
      <c r="J401" s="1"/>
      <c r="L401" s="1"/>
      <c r="N401" s="1"/>
      <c r="P401" s="1"/>
      <c r="R401" s="1"/>
      <c r="T401" s="1"/>
      <c r="V401" s="1"/>
      <c r="X401" s="1"/>
    </row>
    <row r="402" spans="5:24" ht="15.75" customHeight="1" x14ac:dyDescent="0.3">
      <c r="E402" s="1"/>
      <c r="H402" s="2"/>
      <c r="J402" s="1"/>
      <c r="L402" s="1"/>
      <c r="N402" s="1"/>
      <c r="P402" s="1"/>
      <c r="R402" s="1"/>
      <c r="T402" s="1"/>
      <c r="V402" s="1"/>
      <c r="X402" s="1"/>
    </row>
    <row r="403" spans="5:24" ht="15.75" customHeight="1" x14ac:dyDescent="0.3">
      <c r="E403" s="1"/>
      <c r="H403" s="2"/>
      <c r="J403" s="1"/>
      <c r="L403" s="1"/>
      <c r="N403" s="1"/>
      <c r="P403" s="1"/>
      <c r="R403" s="1"/>
      <c r="T403" s="1"/>
      <c r="V403" s="1"/>
      <c r="X403" s="1"/>
    </row>
    <row r="404" spans="5:24" ht="15.75" customHeight="1" x14ac:dyDescent="0.3">
      <c r="E404" s="1"/>
      <c r="H404" s="2"/>
      <c r="J404" s="1"/>
      <c r="L404" s="1"/>
      <c r="N404" s="1"/>
      <c r="P404" s="1"/>
      <c r="R404" s="1"/>
      <c r="T404" s="1"/>
      <c r="V404" s="1"/>
      <c r="X404" s="1"/>
    </row>
    <row r="405" spans="5:24" ht="15.75" customHeight="1" x14ac:dyDescent="0.3">
      <c r="E405" s="1"/>
      <c r="H405" s="2"/>
      <c r="J405" s="1"/>
      <c r="L405" s="1"/>
      <c r="N405" s="1"/>
      <c r="P405" s="1"/>
      <c r="R405" s="1"/>
      <c r="T405" s="1"/>
      <c r="V405" s="1"/>
      <c r="X405" s="1"/>
    </row>
    <row r="406" spans="5:24" ht="15.75" customHeight="1" x14ac:dyDescent="0.3">
      <c r="E406" s="1"/>
      <c r="H406" s="2"/>
      <c r="J406" s="1"/>
      <c r="L406" s="1"/>
      <c r="N406" s="1"/>
      <c r="P406" s="1"/>
      <c r="R406" s="1"/>
      <c r="T406" s="1"/>
      <c r="V406" s="1"/>
      <c r="X406" s="1"/>
    </row>
    <row r="407" spans="5:24" ht="15.75" customHeight="1" x14ac:dyDescent="0.3">
      <c r="E407" s="1"/>
      <c r="H407" s="2"/>
      <c r="J407" s="1"/>
      <c r="L407" s="1"/>
      <c r="N407" s="1"/>
      <c r="P407" s="1"/>
      <c r="R407" s="1"/>
      <c r="T407" s="1"/>
      <c r="V407" s="1"/>
      <c r="X407" s="1"/>
    </row>
    <row r="408" spans="5:24" ht="15.75" customHeight="1" x14ac:dyDescent="0.3">
      <c r="E408" s="1"/>
      <c r="H408" s="2"/>
      <c r="J408" s="1"/>
      <c r="L408" s="1"/>
      <c r="N408" s="1"/>
      <c r="P408" s="1"/>
      <c r="R408" s="1"/>
      <c r="T408" s="1"/>
      <c r="V408" s="1"/>
      <c r="X408" s="1"/>
    </row>
    <row r="409" spans="5:24" ht="15.75" customHeight="1" x14ac:dyDescent="0.3">
      <c r="E409" s="1"/>
      <c r="H409" s="2"/>
      <c r="J409" s="1"/>
      <c r="L409" s="1"/>
      <c r="N409" s="1"/>
      <c r="P409" s="1"/>
      <c r="R409" s="1"/>
      <c r="T409" s="1"/>
      <c r="V409" s="1"/>
      <c r="X409" s="1"/>
    </row>
    <row r="410" spans="5:24" ht="15.75" customHeight="1" x14ac:dyDescent="0.3">
      <c r="E410" s="1"/>
      <c r="H410" s="2"/>
      <c r="J410" s="1"/>
      <c r="L410" s="1"/>
      <c r="N410" s="1"/>
      <c r="P410" s="1"/>
      <c r="R410" s="1"/>
      <c r="T410" s="1"/>
      <c r="V410" s="1"/>
      <c r="X410" s="1"/>
    </row>
    <row r="411" spans="5:24" ht="15.75" customHeight="1" x14ac:dyDescent="0.3">
      <c r="E411" s="1"/>
      <c r="H411" s="2"/>
      <c r="J411" s="1"/>
      <c r="L411" s="1"/>
      <c r="N411" s="1"/>
      <c r="P411" s="1"/>
      <c r="R411" s="1"/>
      <c r="T411" s="1"/>
      <c r="V411" s="1"/>
      <c r="X411" s="1"/>
    </row>
    <row r="412" spans="5:24" ht="15.75" customHeight="1" x14ac:dyDescent="0.3">
      <c r="E412" s="1"/>
      <c r="H412" s="2"/>
      <c r="J412" s="1"/>
      <c r="L412" s="1"/>
      <c r="N412" s="1"/>
      <c r="P412" s="1"/>
      <c r="R412" s="1"/>
      <c r="T412" s="1"/>
      <c r="V412" s="1"/>
      <c r="X412" s="1"/>
    </row>
    <row r="413" spans="5:24" ht="15.75" customHeight="1" x14ac:dyDescent="0.3">
      <c r="E413" s="1"/>
      <c r="H413" s="2"/>
      <c r="J413" s="1"/>
      <c r="L413" s="1"/>
      <c r="N413" s="1"/>
      <c r="P413" s="1"/>
      <c r="R413" s="1"/>
      <c r="T413" s="1"/>
      <c r="V413" s="1"/>
      <c r="X413" s="1"/>
    </row>
    <row r="414" spans="5:24" ht="15.75" customHeight="1" x14ac:dyDescent="0.3">
      <c r="E414" s="1"/>
      <c r="H414" s="2"/>
      <c r="J414" s="1"/>
      <c r="L414" s="1"/>
      <c r="N414" s="1"/>
      <c r="P414" s="1"/>
      <c r="R414" s="1"/>
      <c r="T414" s="1"/>
      <c r="V414" s="1"/>
      <c r="X414" s="1"/>
    </row>
    <row r="415" spans="5:24" ht="15.75" customHeight="1" x14ac:dyDescent="0.3">
      <c r="E415" s="1"/>
      <c r="H415" s="2"/>
      <c r="J415" s="1"/>
      <c r="L415" s="1"/>
      <c r="N415" s="1"/>
      <c r="P415" s="1"/>
      <c r="R415" s="1"/>
      <c r="T415" s="1"/>
      <c r="V415" s="1"/>
      <c r="X415" s="1"/>
    </row>
    <row r="416" spans="5:24" ht="15.75" customHeight="1" x14ac:dyDescent="0.3">
      <c r="E416" s="1"/>
      <c r="H416" s="2"/>
      <c r="J416" s="1"/>
      <c r="L416" s="1"/>
      <c r="N416" s="1"/>
      <c r="P416" s="1"/>
      <c r="R416" s="1"/>
      <c r="T416" s="1"/>
      <c r="V416" s="1"/>
      <c r="X416" s="1"/>
    </row>
    <row r="417" spans="5:24" ht="15.75" customHeight="1" x14ac:dyDescent="0.3">
      <c r="E417" s="1"/>
      <c r="H417" s="2"/>
      <c r="J417" s="1"/>
      <c r="L417" s="1"/>
      <c r="N417" s="1"/>
      <c r="P417" s="1"/>
      <c r="R417" s="1"/>
      <c r="T417" s="1"/>
      <c r="V417" s="1"/>
      <c r="X417" s="1"/>
    </row>
    <row r="418" spans="5:24" ht="15.75" customHeight="1" x14ac:dyDescent="0.3">
      <c r="E418" s="1"/>
      <c r="H418" s="2"/>
      <c r="J418" s="1"/>
      <c r="L418" s="1"/>
      <c r="N418" s="1"/>
      <c r="P418" s="1"/>
      <c r="R418" s="1"/>
      <c r="T418" s="1"/>
      <c r="V418" s="1"/>
      <c r="X418" s="1"/>
    </row>
    <row r="419" spans="5:24" ht="15.75" customHeight="1" x14ac:dyDescent="0.3">
      <c r="E419" s="1"/>
      <c r="H419" s="2"/>
      <c r="J419" s="1"/>
      <c r="L419" s="1"/>
      <c r="N419" s="1"/>
      <c r="P419" s="1"/>
      <c r="R419" s="1"/>
      <c r="T419" s="1"/>
      <c r="V419" s="1"/>
      <c r="X419" s="1"/>
    </row>
    <row r="420" spans="5:24" ht="15.75" customHeight="1" x14ac:dyDescent="0.3">
      <c r="E420" s="1"/>
      <c r="H420" s="2"/>
      <c r="J420" s="1"/>
      <c r="L420" s="1"/>
      <c r="N420" s="1"/>
      <c r="P420" s="1"/>
      <c r="R420" s="1"/>
      <c r="T420" s="1"/>
      <c r="V420" s="1"/>
      <c r="X420" s="1"/>
    </row>
    <row r="421" spans="5:24" ht="15.75" customHeight="1" x14ac:dyDescent="0.3">
      <c r="E421" s="1"/>
      <c r="H421" s="2"/>
      <c r="J421" s="1"/>
      <c r="L421" s="1"/>
      <c r="N421" s="1"/>
      <c r="P421" s="1"/>
      <c r="R421" s="1"/>
      <c r="T421" s="1"/>
      <c r="V421" s="1"/>
      <c r="X421" s="1"/>
    </row>
    <row r="422" spans="5:24" ht="15.75" customHeight="1" x14ac:dyDescent="0.3">
      <c r="E422" s="1"/>
      <c r="H422" s="2"/>
      <c r="J422" s="1"/>
      <c r="L422" s="1"/>
      <c r="N422" s="1"/>
      <c r="P422" s="1"/>
      <c r="R422" s="1"/>
      <c r="T422" s="1"/>
      <c r="V422" s="1"/>
      <c r="X422" s="1"/>
    </row>
    <row r="423" spans="5:24" ht="15.75" customHeight="1" x14ac:dyDescent="0.3">
      <c r="E423" s="1"/>
      <c r="H423" s="2"/>
      <c r="J423" s="1"/>
      <c r="L423" s="1"/>
      <c r="N423" s="1"/>
      <c r="P423" s="1"/>
      <c r="R423" s="1"/>
      <c r="T423" s="1"/>
      <c r="V423" s="1"/>
      <c r="X423" s="1"/>
    </row>
    <row r="424" spans="5:24" ht="15.75" customHeight="1" x14ac:dyDescent="0.3">
      <c r="E424" s="1"/>
      <c r="H424" s="2"/>
      <c r="J424" s="1"/>
      <c r="L424" s="1"/>
      <c r="N424" s="1"/>
      <c r="P424" s="1"/>
      <c r="R424" s="1"/>
      <c r="T424" s="1"/>
      <c r="V424" s="1"/>
      <c r="X424" s="1"/>
    </row>
    <row r="425" spans="5:24" ht="15.75" customHeight="1" x14ac:dyDescent="0.3">
      <c r="E425" s="1"/>
      <c r="H425" s="2"/>
      <c r="J425" s="1"/>
      <c r="L425" s="1"/>
      <c r="N425" s="1"/>
      <c r="P425" s="1"/>
      <c r="R425" s="1"/>
      <c r="T425" s="1"/>
      <c r="V425" s="1"/>
      <c r="X425" s="1"/>
    </row>
    <row r="426" spans="5:24" ht="15.75" customHeight="1" x14ac:dyDescent="0.3">
      <c r="E426" s="1"/>
      <c r="H426" s="2"/>
      <c r="J426" s="1"/>
      <c r="L426" s="1"/>
      <c r="N426" s="1"/>
      <c r="P426" s="1"/>
      <c r="R426" s="1"/>
      <c r="T426" s="1"/>
      <c r="V426" s="1"/>
      <c r="X426" s="1"/>
    </row>
    <row r="427" spans="5:24" ht="15.75" customHeight="1" x14ac:dyDescent="0.3">
      <c r="E427" s="1"/>
      <c r="H427" s="2"/>
      <c r="J427" s="1"/>
      <c r="L427" s="1"/>
      <c r="N427" s="1"/>
      <c r="P427" s="1"/>
      <c r="R427" s="1"/>
      <c r="T427" s="1"/>
      <c r="V427" s="1"/>
      <c r="X427" s="1"/>
    </row>
    <row r="428" spans="5:24" ht="15.75" customHeight="1" x14ac:dyDescent="0.3">
      <c r="E428" s="1"/>
      <c r="H428" s="2"/>
      <c r="J428" s="1"/>
      <c r="L428" s="1"/>
      <c r="N428" s="1"/>
      <c r="P428" s="1"/>
      <c r="R428" s="1"/>
      <c r="T428" s="1"/>
      <c r="V428" s="1"/>
      <c r="X428" s="1"/>
    </row>
    <row r="429" spans="5:24" ht="15.75" customHeight="1" x14ac:dyDescent="0.3">
      <c r="E429" s="1"/>
      <c r="H429" s="2"/>
      <c r="J429" s="1"/>
      <c r="L429" s="1"/>
      <c r="N429" s="1"/>
      <c r="P429" s="1"/>
      <c r="R429" s="1"/>
      <c r="T429" s="1"/>
      <c r="V429" s="1"/>
      <c r="X429" s="1"/>
    </row>
    <row r="430" spans="5:24" ht="15.75" customHeight="1" x14ac:dyDescent="0.3">
      <c r="E430" s="1"/>
      <c r="H430" s="2"/>
      <c r="J430" s="1"/>
      <c r="L430" s="1"/>
      <c r="N430" s="1"/>
      <c r="P430" s="1"/>
      <c r="R430" s="1"/>
      <c r="T430" s="1"/>
      <c r="V430" s="1"/>
      <c r="X430" s="1"/>
    </row>
    <row r="431" spans="5:24" ht="15.75" customHeight="1" x14ac:dyDescent="0.3">
      <c r="E431" s="1"/>
      <c r="H431" s="2"/>
      <c r="J431" s="1"/>
      <c r="L431" s="1"/>
      <c r="N431" s="1"/>
      <c r="P431" s="1"/>
      <c r="R431" s="1"/>
      <c r="T431" s="1"/>
      <c r="V431" s="1"/>
      <c r="X431" s="1"/>
    </row>
    <row r="432" spans="5:24" ht="15.75" customHeight="1" x14ac:dyDescent="0.3">
      <c r="E432" s="1"/>
      <c r="H432" s="2"/>
      <c r="J432" s="1"/>
      <c r="L432" s="1"/>
      <c r="N432" s="1"/>
      <c r="P432" s="1"/>
      <c r="R432" s="1"/>
      <c r="T432" s="1"/>
      <c r="V432" s="1"/>
      <c r="X432" s="1"/>
    </row>
    <row r="433" spans="5:24" ht="15.75" customHeight="1" x14ac:dyDescent="0.3">
      <c r="E433" s="1"/>
      <c r="H433" s="2"/>
      <c r="J433" s="1"/>
      <c r="L433" s="1"/>
      <c r="N433" s="1"/>
      <c r="P433" s="1"/>
      <c r="R433" s="1"/>
      <c r="T433" s="1"/>
      <c r="V433" s="1"/>
      <c r="X433" s="1"/>
    </row>
    <row r="434" spans="5:24" ht="15.75" customHeight="1" x14ac:dyDescent="0.3">
      <c r="E434" s="1"/>
      <c r="H434" s="2"/>
      <c r="J434" s="1"/>
      <c r="L434" s="1"/>
      <c r="N434" s="1"/>
      <c r="P434" s="1"/>
      <c r="R434" s="1"/>
      <c r="T434" s="1"/>
      <c r="V434" s="1"/>
      <c r="X434" s="1"/>
    </row>
    <row r="435" spans="5:24" ht="15.75" customHeight="1" x14ac:dyDescent="0.3">
      <c r="E435" s="1"/>
      <c r="H435" s="2"/>
      <c r="J435" s="1"/>
      <c r="L435" s="1"/>
      <c r="N435" s="1"/>
      <c r="P435" s="1"/>
      <c r="R435" s="1"/>
      <c r="T435" s="1"/>
      <c r="V435" s="1"/>
      <c r="X435" s="1"/>
    </row>
    <row r="436" spans="5:24" ht="15.75" customHeight="1" x14ac:dyDescent="0.3">
      <c r="E436" s="1"/>
      <c r="H436" s="2"/>
      <c r="J436" s="1"/>
      <c r="L436" s="1"/>
      <c r="N436" s="1"/>
      <c r="P436" s="1"/>
      <c r="R436" s="1"/>
      <c r="T436" s="1"/>
      <c r="V436" s="1"/>
      <c r="X436" s="1"/>
    </row>
    <row r="437" spans="5:24" ht="15.75" customHeight="1" x14ac:dyDescent="0.3">
      <c r="E437" s="1"/>
      <c r="H437" s="2"/>
      <c r="J437" s="1"/>
      <c r="L437" s="1"/>
      <c r="N437" s="1"/>
      <c r="P437" s="1"/>
      <c r="R437" s="1"/>
      <c r="T437" s="1"/>
      <c r="V437" s="1"/>
      <c r="X437" s="1"/>
    </row>
    <row r="438" spans="5:24" ht="15.75" customHeight="1" x14ac:dyDescent="0.3">
      <c r="E438" s="1"/>
      <c r="H438" s="2"/>
      <c r="J438" s="1"/>
      <c r="L438" s="1"/>
      <c r="N438" s="1"/>
      <c r="P438" s="1"/>
      <c r="R438" s="1"/>
      <c r="T438" s="1"/>
      <c r="V438" s="1"/>
      <c r="X438" s="1"/>
    </row>
    <row r="439" spans="5:24" ht="15.75" customHeight="1" x14ac:dyDescent="0.3">
      <c r="E439" s="1"/>
      <c r="H439" s="2"/>
      <c r="J439" s="1"/>
      <c r="L439" s="1"/>
      <c r="N439" s="1"/>
      <c r="P439" s="1"/>
      <c r="R439" s="1"/>
      <c r="T439" s="1"/>
      <c r="V439" s="1"/>
      <c r="X439" s="1"/>
    </row>
    <row r="440" spans="5:24" ht="15.75" customHeight="1" x14ac:dyDescent="0.3">
      <c r="E440" s="1"/>
      <c r="H440" s="2"/>
      <c r="J440" s="1"/>
      <c r="L440" s="1"/>
      <c r="N440" s="1"/>
      <c r="P440" s="1"/>
      <c r="R440" s="1"/>
      <c r="T440" s="1"/>
      <c r="V440" s="1"/>
      <c r="X440" s="1"/>
    </row>
    <row r="441" spans="5:24" ht="15.75" customHeight="1" x14ac:dyDescent="0.3">
      <c r="E441" s="1"/>
      <c r="H441" s="2"/>
      <c r="J441" s="1"/>
      <c r="L441" s="1"/>
      <c r="N441" s="1"/>
      <c r="P441" s="1"/>
      <c r="R441" s="1"/>
      <c r="T441" s="1"/>
      <c r="V441" s="1"/>
      <c r="X441" s="1"/>
    </row>
    <row r="442" spans="5:24" ht="15.75" customHeight="1" x14ac:dyDescent="0.3">
      <c r="E442" s="1"/>
      <c r="H442" s="2"/>
      <c r="J442" s="1"/>
      <c r="L442" s="1"/>
      <c r="N442" s="1"/>
      <c r="P442" s="1"/>
      <c r="R442" s="1"/>
      <c r="T442" s="1"/>
      <c r="V442" s="1"/>
      <c r="X442" s="1"/>
    </row>
    <row r="443" spans="5:24" ht="15.75" customHeight="1" x14ac:dyDescent="0.3">
      <c r="E443" s="1"/>
      <c r="H443" s="2"/>
      <c r="J443" s="1"/>
      <c r="L443" s="1"/>
      <c r="N443" s="1"/>
      <c r="P443" s="1"/>
      <c r="R443" s="1"/>
      <c r="T443" s="1"/>
      <c r="V443" s="1"/>
      <c r="X443" s="1"/>
    </row>
    <row r="444" spans="5:24" ht="15.75" customHeight="1" x14ac:dyDescent="0.3">
      <c r="E444" s="1"/>
      <c r="H444" s="2"/>
      <c r="J444" s="1"/>
      <c r="L444" s="1"/>
      <c r="N444" s="1"/>
      <c r="P444" s="1"/>
      <c r="R444" s="1"/>
      <c r="T444" s="1"/>
      <c r="V444" s="1"/>
      <c r="X444" s="1"/>
    </row>
    <row r="445" spans="5:24" ht="15.75" customHeight="1" x14ac:dyDescent="0.3">
      <c r="E445" s="1"/>
      <c r="H445" s="2"/>
      <c r="J445" s="1"/>
      <c r="L445" s="1"/>
      <c r="N445" s="1"/>
      <c r="P445" s="1"/>
      <c r="R445" s="1"/>
      <c r="T445" s="1"/>
      <c r="V445" s="1"/>
      <c r="X445" s="1"/>
    </row>
    <row r="446" spans="5:24" ht="15.75" customHeight="1" x14ac:dyDescent="0.3">
      <c r="E446" s="1"/>
      <c r="H446" s="2"/>
      <c r="J446" s="1"/>
      <c r="L446" s="1"/>
      <c r="N446" s="1"/>
      <c r="P446" s="1"/>
      <c r="R446" s="1"/>
      <c r="T446" s="1"/>
      <c r="V446" s="1"/>
      <c r="X446" s="1"/>
    </row>
    <row r="447" spans="5:24" ht="15.75" customHeight="1" x14ac:dyDescent="0.3">
      <c r="E447" s="1"/>
      <c r="H447" s="2"/>
      <c r="J447" s="1"/>
      <c r="L447" s="1"/>
      <c r="N447" s="1"/>
      <c r="P447" s="1"/>
      <c r="R447" s="1"/>
      <c r="T447" s="1"/>
      <c r="V447" s="1"/>
      <c r="X447" s="1"/>
    </row>
    <row r="448" spans="5:24" ht="15.75" customHeight="1" x14ac:dyDescent="0.3">
      <c r="E448" s="1"/>
      <c r="H448" s="2"/>
      <c r="J448" s="1"/>
      <c r="L448" s="1"/>
      <c r="N448" s="1"/>
      <c r="P448" s="1"/>
      <c r="R448" s="1"/>
      <c r="T448" s="1"/>
      <c r="V448" s="1"/>
      <c r="X448" s="1"/>
    </row>
    <row r="449" spans="5:24" ht="15.75" customHeight="1" x14ac:dyDescent="0.3">
      <c r="E449" s="1"/>
      <c r="H449" s="2"/>
      <c r="J449" s="1"/>
      <c r="L449" s="1"/>
      <c r="N449" s="1"/>
      <c r="P449" s="1"/>
      <c r="R449" s="1"/>
      <c r="T449" s="1"/>
      <c r="V449" s="1"/>
      <c r="X449" s="1"/>
    </row>
    <row r="450" spans="5:24" ht="15.75" customHeight="1" x14ac:dyDescent="0.3">
      <c r="E450" s="1"/>
      <c r="H450" s="2"/>
      <c r="J450" s="1"/>
      <c r="L450" s="1"/>
      <c r="N450" s="1"/>
      <c r="P450" s="1"/>
      <c r="R450" s="1"/>
      <c r="T450" s="1"/>
      <c r="V450" s="1"/>
      <c r="X450" s="1"/>
    </row>
    <row r="451" spans="5:24" ht="15.75" customHeight="1" x14ac:dyDescent="0.3">
      <c r="E451" s="1"/>
      <c r="H451" s="2"/>
      <c r="J451" s="1"/>
      <c r="L451" s="1"/>
      <c r="N451" s="1"/>
      <c r="P451" s="1"/>
      <c r="R451" s="1"/>
      <c r="T451" s="1"/>
      <c r="V451" s="1"/>
      <c r="X451" s="1"/>
    </row>
    <row r="452" spans="5:24" ht="15.75" customHeight="1" x14ac:dyDescent="0.3">
      <c r="E452" s="1"/>
      <c r="H452" s="2"/>
      <c r="J452" s="1"/>
      <c r="L452" s="1"/>
      <c r="N452" s="1"/>
      <c r="P452" s="1"/>
      <c r="R452" s="1"/>
      <c r="T452" s="1"/>
      <c r="V452" s="1"/>
      <c r="X452" s="1"/>
    </row>
    <row r="453" spans="5:24" ht="15.75" customHeight="1" x14ac:dyDescent="0.3">
      <c r="E453" s="1"/>
      <c r="H453" s="2"/>
      <c r="J453" s="1"/>
      <c r="L453" s="1"/>
      <c r="N453" s="1"/>
      <c r="P453" s="1"/>
      <c r="R453" s="1"/>
      <c r="T453" s="1"/>
      <c r="V453" s="1"/>
      <c r="X453" s="1"/>
    </row>
    <row r="454" spans="5:24" ht="15.75" customHeight="1" x14ac:dyDescent="0.3">
      <c r="E454" s="1"/>
      <c r="H454" s="2"/>
      <c r="J454" s="1"/>
      <c r="L454" s="1"/>
      <c r="N454" s="1"/>
      <c r="P454" s="1"/>
      <c r="R454" s="1"/>
      <c r="T454" s="1"/>
      <c r="V454" s="1"/>
      <c r="X454" s="1"/>
    </row>
    <row r="455" spans="5:24" ht="15.75" customHeight="1" x14ac:dyDescent="0.3">
      <c r="E455" s="1"/>
      <c r="H455" s="2"/>
      <c r="J455" s="1"/>
      <c r="L455" s="1"/>
      <c r="N455" s="1"/>
      <c r="P455" s="1"/>
      <c r="R455" s="1"/>
      <c r="T455" s="1"/>
      <c r="V455" s="1"/>
      <c r="X455" s="1"/>
    </row>
    <row r="456" spans="5:24" ht="15.75" customHeight="1" x14ac:dyDescent="0.3">
      <c r="E456" s="1"/>
      <c r="H456" s="2"/>
      <c r="J456" s="1"/>
      <c r="L456" s="1"/>
      <c r="N456" s="1"/>
      <c r="P456" s="1"/>
      <c r="R456" s="1"/>
      <c r="T456" s="1"/>
      <c r="V456" s="1"/>
      <c r="X456" s="1"/>
    </row>
    <row r="457" spans="5:24" ht="15.75" customHeight="1" x14ac:dyDescent="0.3">
      <c r="E457" s="1"/>
      <c r="H457" s="2"/>
      <c r="J457" s="1"/>
      <c r="L457" s="1"/>
      <c r="N457" s="1"/>
      <c r="P457" s="1"/>
      <c r="R457" s="1"/>
      <c r="T457" s="1"/>
      <c r="V457" s="1"/>
      <c r="X457" s="1"/>
    </row>
    <row r="458" spans="5:24" ht="15.75" customHeight="1" x14ac:dyDescent="0.3">
      <c r="E458" s="1"/>
      <c r="H458" s="2"/>
      <c r="J458" s="1"/>
      <c r="L458" s="1"/>
      <c r="N458" s="1"/>
      <c r="P458" s="1"/>
      <c r="R458" s="1"/>
      <c r="T458" s="1"/>
      <c r="V458" s="1"/>
      <c r="X458" s="1"/>
    </row>
    <row r="459" spans="5:24" ht="15.75" customHeight="1" x14ac:dyDescent="0.3">
      <c r="E459" s="1"/>
      <c r="H459" s="2"/>
      <c r="J459" s="1"/>
      <c r="L459" s="1"/>
      <c r="N459" s="1"/>
      <c r="P459" s="1"/>
      <c r="R459" s="1"/>
      <c r="T459" s="1"/>
      <c r="V459" s="1"/>
      <c r="X459" s="1"/>
    </row>
    <row r="460" spans="5:24" ht="15.75" customHeight="1" x14ac:dyDescent="0.3">
      <c r="E460" s="1"/>
      <c r="H460" s="2"/>
      <c r="J460" s="1"/>
      <c r="L460" s="1"/>
      <c r="N460" s="1"/>
      <c r="P460" s="1"/>
      <c r="R460" s="1"/>
      <c r="T460" s="1"/>
      <c r="V460" s="1"/>
      <c r="X460" s="1"/>
    </row>
    <row r="461" spans="5:24" ht="15.75" customHeight="1" x14ac:dyDescent="0.3">
      <c r="E461" s="1"/>
      <c r="H461" s="2"/>
      <c r="J461" s="1"/>
      <c r="L461" s="1"/>
      <c r="N461" s="1"/>
      <c r="P461" s="1"/>
      <c r="R461" s="1"/>
      <c r="T461" s="1"/>
      <c r="V461" s="1"/>
      <c r="X461" s="1"/>
    </row>
    <row r="462" spans="5:24" ht="15.75" customHeight="1" x14ac:dyDescent="0.3">
      <c r="E462" s="1"/>
      <c r="H462" s="2"/>
      <c r="J462" s="1"/>
      <c r="L462" s="1"/>
      <c r="N462" s="1"/>
      <c r="P462" s="1"/>
      <c r="R462" s="1"/>
      <c r="T462" s="1"/>
      <c r="V462" s="1"/>
      <c r="X462" s="1"/>
    </row>
    <row r="463" spans="5:24" ht="15.75" customHeight="1" x14ac:dyDescent="0.3">
      <c r="E463" s="1"/>
      <c r="H463" s="2"/>
      <c r="J463" s="1"/>
      <c r="L463" s="1"/>
      <c r="N463" s="1"/>
      <c r="P463" s="1"/>
      <c r="R463" s="1"/>
      <c r="T463" s="1"/>
      <c r="V463" s="1"/>
      <c r="X463" s="1"/>
    </row>
    <row r="464" spans="5:24" ht="15.75" customHeight="1" x14ac:dyDescent="0.3">
      <c r="E464" s="1"/>
      <c r="H464" s="2"/>
      <c r="J464" s="1"/>
      <c r="L464" s="1"/>
      <c r="N464" s="1"/>
      <c r="P464" s="1"/>
      <c r="R464" s="1"/>
      <c r="T464" s="1"/>
      <c r="V464" s="1"/>
      <c r="X464" s="1"/>
    </row>
    <row r="465" spans="5:24" ht="15.75" customHeight="1" x14ac:dyDescent="0.3">
      <c r="E465" s="1"/>
      <c r="H465" s="2"/>
      <c r="J465" s="1"/>
      <c r="L465" s="1"/>
      <c r="N465" s="1"/>
      <c r="P465" s="1"/>
      <c r="R465" s="1"/>
      <c r="T465" s="1"/>
      <c r="V465" s="1"/>
      <c r="X465" s="1"/>
    </row>
    <row r="466" spans="5:24" ht="15.75" customHeight="1" x14ac:dyDescent="0.3">
      <c r="E466" s="1"/>
      <c r="H466" s="2"/>
      <c r="J466" s="1"/>
      <c r="L466" s="1"/>
      <c r="N466" s="1"/>
      <c r="P466" s="1"/>
      <c r="R466" s="1"/>
      <c r="T466" s="1"/>
      <c r="V466" s="1"/>
      <c r="X466" s="1"/>
    </row>
    <row r="467" spans="5:24" ht="15.75" customHeight="1" x14ac:dyDescent="0.3">
      <c r="E467" s="1"/>
      <c r="H467" s="2"/>
      <c r="J467" s="1"/>
      <c r="L467" s="1"/>
      <c r="N467" s="1"/>
      <c r="P467" s="1"/>
      <c r="R467" s="1"/>
      <c r="T467" s="1"/>
      <c r="V467" s="1"/>
      <c r="X467" s="1"/>
    </row>
    <row r="468" spans="5:24" ht="15.75" customHeight="1" x14ac:dyDescent="0.3">
      <c r="E468" s="1"/>
      <c r="H468" s="2"/>
      <c r="J468" s="1"/>
      <c r="L468" s="1"/>
      <c r="N468" s="1"/>
      <c r="P468" s="1"/>
      <c r="R468" s="1"/>
      <c r="T468" s="1"/>
      <c r="V468" s="1"/>
      <c r="X468" s="1"/>
    </row>
    <row r="469" spans="5:24" ht="15.75" customHeight="1" x14ac:dyDescent="0.3">
      <c r="E469" s="1"/>
      <c r="H469" s="2"/>
      <c r="J469" s="1"/>
      <c r="L469" s="1"/>
      <c r="N469" s="1"/>
      <c r="P469" s="1"/>
      <c r="R469" s="1"/>
      <c r="T469" s="1"/>
      <c r="V469" s="1"/>
      <c r="X469" s="1"/>
    </row>
    <row r="470" spans="5:24" ht="15.75" customHeight="1" x14ac:dyDescent="0.3">
      <c r="E470" s="1"/>
      <c r="H470" s="2"/>
      <c r="J470" s="1"/>
      <c r="L470" s="1"/>
      <c r="N470" s="1"/>
      <c r="P470" s="1"/>
      <c r="R470" s="1"/>
      <c r="T470" s="1"/>
      <c r="V470" s="1"/>
      <c r="X470" s="1"/>
    </row>
    <row r="471" spans="5:24" ht="15.75" customHeight="1" x14ac:dyDescent="0.3">
      <c r="E471" s="1"/>
      <c r="H471" s="2"/>
      <c r="J471" s="1"/>
      <c r="L471" s="1"/>
      <c r="N471" s="1"/>
      <c r="P471" s="1"/>
      <c r="R471" s="1"/>
      <c r="T471" s="1"/>
      <c r="V471" s="1"/>
      <c r="X471" s="1"/>
    </row>
    <row r="472" spans="5:24" ht="15.75" customHeight="1" x14ac:dyDescent="0.3">
      <c r="E472" s="1"/>
      <c r="H472" s="2"/>
      <c r="J472" s="1"/>
      <c r="L472" s="1"/>
      <c r="N472" s="1"/>
      <c r="P472" s="1"/>
      <c r="R472" s="1"/>
      <c r="T472" s="1"/>
      <c r="V472" s="1"/>
      <c r="X472" s="1"/>
    </row>
    <row r="473" spans="5:24" ht="15.75" customHeight="1" x14ac:dyDescent="0.3">
      <c r="E473" s="1"/>
      <c r="H473" s="2"/>
      <c r="J473" s="1"/>
      <c r="L473" s="1"/>
      <c r="N473" s="1"/>
      <c r="P473" s="1"/>
      <c r="R473" s="1"/>
      <c r="T473" s="1"/>
      <c r="V473" s="1"/>
      <c r="X473" s="1"/>
    </row>
    <row r="474" spans="5:24" ht="15.75" customHeight="1" x14ac:dyDescent="0.3">
      <c r="E474" s="1"/>
      <c r="H474" s="2"/>
      <c r="J474" s="1"/>
      <c r="L474" s="1"/>
      <c r="N474" s="1"/>
      <c r="P474" s="1"/>
      <c r="R474" s="1"/>
      <c r="T474" s="1"/>
      <c r="V474" s="1"/>
      <c r="X474" s="1"/>
    </row>
    <row r="475" spans="5:24" ht="15.75" customHeight="1" x14ac:dyDescent="0.3">
      <c r="E475" s="1"/>
      <c r="H475" s="2"/>
      <c r="J475" s="1"/>
      <c r="L475" s="1"/>
      <c r="N475" s="1"/>
      <c r="P475" s="1"/>
      <c r="R475" s="1"/>
      <c r="T475" s="1"/>
      <c r="V475" s="1"/>
      <c r="X475" s="1"/>
    </row>
    <row r="476" spans="5:24" ht="15.75" customHeight="1" x14ac:dyDescent="0.3">
      <c r="E476" s="1"/>
      <c r="H476" s="2"/>
      <c r="J476" s="1"/>
      <c r="L476" s="1"/>
      <c r="N476" s="1"/>
      <c r="P476" s="1"/>
      <c r="R476" s="1"/>
      <c r="T476" s="1"/>
      <c r="V476" s="1"/>
      <c r="X476" s="1"/>
    </row>
    <row r="477" spans="5:24" ht="15.75" customHeight="1" x14ac:dyDescent="0.3">
      <c r="E477" s="1"/>
      <c r="H477" s="2"/>
      <c r="J477" s="1"/>
      <c r="L477" s="1"/>
      <c r="N477" s="1"/>
      <c r="P477" s="1"/>
      <c r="R477" s="1"/>
      <c r="T477" s="1"/>
      <c r="V477" s="1"/>
      <c r="X477" s="1"/>
    </row>
    <row r="478" spans="5:24" ht="15.75" customHeight="1" x14ac:dyDescent="0.3">
      <c r="E478" s="1"/>
      <c r="H478" s="2"/>
      <c r="J478" s="1"/>
      <c r="L478" s="1"/>
      <c r="N478" s="1"/>
      <c r="P478" s="1"/>
      <c r="R478" s="1"/>
      <c r="T478" s="1"/>
      <c r="V478" s="1"/>
      <c r="X478" s="1"/>
    </row>
    <row r="479" spans="5:24" ht="15.75" customHeight="1" x14ac:dyDescent="0.3">
      <c r="E479" s="1"/>
      <c r="H479" s="2"/>
      <c r="J479" s="1"/>
      <c r="L479" s="1"/>
      <c r="N479" s="1"/>
      <c r="P479" s="1"/>
      <c r="R479" s="1"/>
      <c r="T479" s="1"/>
      <c r="V479" s="1"/>
      <c r="X479" s="1"/>
    </row>
    <row r="480" spans="5:24" ht="15.75" customHeight="1" x14ac:dyDescent="0.3">
      <c r="E480" s="1"/>
      <c r="H480" s="2"/>
      <c r="J480" s="1"/>
      <c r="L480" s="1"/>
      <c r="N480" s="1"/>
      <c r="P480" s="1"/>
      <c r="R480" s="1"/>
      <c r="T480" s="1"/>
      <c r="V480" s="1"/>
      <c r="X480" s="1"/>
    </row>
    <row r="481" spans="5:24" ht="15.75" customHeight="1" x14ac:dyDescent="0.3">
      <c r="E481" s="1"/>
      <c r="H481" s="2"/>
      <c r="J481" s="1"/>
      <c r="L481" s="1"/>
      <c r="N481" s="1"/>
      <c r="P481" s="1"/>
      <c r="R481" s="1"/>
      <c r="T481" s="1"/>
      <c r="V481" s="1"/>
      <c r="X481" s="1"/>
    </row>
    <row r="482" spans="5:24" ht="15.75" customHeight="1" x14ac:dyDescent="0.3">
      <c r="E482" s="1"/>
      <c r="H482" s="2"/>
      <c r="J482" s="1"/>
      <c r="L482" s="1"/>
      <c r="N482" s="1"/>
      <c r="P482" s="1"/>
      <c r="R482" s="1"/>
      <c r="T482" s="1"/>
      <c r="V482" s="1"/>
      <c r="X482" s="1"/>
    </row>
    <row r="483" spans="5:24" ht="15.75" customHeight="1" x14ac:dyDescent="0.3">
      <c r="E483" s="1"/>
      <c r="H483" s="2"/>
      <c r="J483" s="1"/>
      <c r="L483" s="1"/>
      <c r="N483" s="1"/>
      <c r="P483" s="1"/>
      <c r="R483" s="1"/>
      <c r="T483" s="1"/>
      <c r="V483" s="1"/>
      <c r="X483" s="1"/>
    </row>
    <row r="484" spans="5:24" ht="15.75" customHeight="1" x14ac:dyDescent="0.3">
      <c r="E484" s="1"/>
      <c r="H484" s="2"/>
      <c r="J484" s="1"/>
      <c r="L484" s="1"/>
      <c r="N484" s="1"/>
      <c r="P484" s="1"/>
      <c r="R484" s="1"/>
      <c r="T484" s="1"/>
      <c r="V484" s="1"/>
      <c r="X484" s="1"/>
    </row>
    <row r="485" spans="5:24" ht="15.75" customHeight="1" x14ac:dyDescent="0.3">
      <c r="E485" s="1"/>
      <c r="H485" s="2"/>
      <c r="J485" s="1"/>
      <c r="L485" s="1"/>
      <c r="N485" s="1"/>
      <c r="P485" s="1"/>
      <c r="R485" s="1"/>
      <c r="T485" s="1"/>
      <c r="V485" s="1"/>
      <c r="X485" s="1"/>
    </row>
    <row r="486" spans="5:24" ht="15.75" customHeight="1" x14ac:dyDescent="0.3">
      <c r="E486" s="1"/>
      <c r="H486" s="2"/>
      <c r="J486" s="1"/>
      <c r="L486" s="1"/>
      <c r="N486" s="1"/>
      <c r="P486" s="1"/>
      <c r="R486" s="1"/>
      <c r="T486" s="1"/>
      <c r="V486" s="1"/>
      <c r="X486" s="1"/>
    </row>
    <row r="487" spans="5:24" ht="15.75" customHeight="1" x14ac:dyDescent="0.3">
      <c r="E487" s="1"/>
      <c r="H487" s="2"/>
      <c r="J487" s="1"/>
      <c r="L487" s="1"/>
      <c r="N487" s="1"/>
      <c r="P487" s="1"/>
      <c r="R487" s="1"/>
      <c r="T487" s="1"/>
      <c r="V487" s="1"/>
      <c r="X487" s="1"/>
    </row>
    <row r="488" spans="5:24" ht="15.75" customHeight="1" x14ac:dyDescent="0.3">
      <c r="E488" s="1"/>
      <c r="H488" s="2"/>
      <c r="J488" s="1"/>
      <c r="L488" s="1"/>
      <c r="N488" s="1"/>
      <c r="P488" s="1"/>
      <c r="R488" s="1"/>
      <c r="T488" s="1"/>
      <c r="V488" s="1"/>
      <c r="X488" s="1"/>
    </row>
    <row r="489" spans="5:24" ht="15.75" customHeight="1" x14ac:dyDescent="0.3">
      <c r="E489" s="1"/>
      <c r="H489" s="2"/>
      <c r="J489" s="1"/>
      <c r="L489" s="1"/>
      <c r="N489" s="1"/>
      <c r="P489" s="1"/>
      <c r="R489" s="1"/>
      <c r="T489" s="1"/>
      <c r="V489" s="1"/>
      <c r="X489" s="1"/>
    </row>
    <row r="490" spans="5:24" ht="15.75" customHeight="1" x14ac:dyDescent="0.3">
      <c r="E490" s="1"/>
      <c r="H490" s="2"/>
      <c r="J490" s="1"/>
      <c r="L490" s="1"/>
      <c r="N490" s="1"/>
      <c r="P490" s="1"/>
      <c r="R490" s="1"/>
      <c r="T490" s="1"/>
      <c r="V490" s="1"/>
      <c r="X490" s="1"/>
    </row>
    <row r="491" spans="5:24" ht="15.75" customHeight="1" x14ac:dyDescent="0.3">
      <c r="E491" s="1"/>
      <c r="H491" s="2"/>
      <c r="J491" s="1"/>
      <c r="L491" s="1"/>
      <c r="N491" s="1"/>
      <c r="P491" s="1"/>
      <c r="R491" s="1"/>
      <c r="T491" s="1"/>
      <c r="V491" s="1"/>
      <c r="X491" s="1"/>
    </row>
    <row r="492" spans="5:24" ht="15.75" customHeight="1" x14ac:dyDescent="0.3">
      <c r="E492" s="1"/>
      <c r="H492" s="2"/>
      <c r="J492" s="1"/>
      <c r="L492" s="1"/>
      <c r="N492" s="1"/>
      <c r="P492" s="1"/>
      <c r="R492" s="1"/>
      <c r="T492" s="1"/>
      <c r="V492" s="1"/>
      <c r="X492" s="1"/>
    </row>
    <row r="493" spans="5:24" ht="15.75" customHeight="1" x14ac:dyDescent="0.3">
      <c r="E493" s="1"/>
      <c r="H493" s="2"/>
      <c r="J493" s="1"/>
      <c r="L493" s="1"/>
      <c r="N493" s="1"/>
      <c r="P493" s="1"/>
      <c r="R493" s="1"/>
      <c r="T493" s="1"/>
      <c r="V493" s="1"/>
      <c r="X493" s="1"/>
    </row>
    <row r="494" spans="5:24" ht="15.75" customHeight="1" x14ac:dyDescent="0.3">
      <c r="E494" s="1"/>
      <c r="H494" s="2"/>
      <c r="J494" s="1"/>
      <c r="L494" s="1"/>
      <c r="N494" s="1"/>
      <c r="P494" s="1"/>
      <c r="R494" s="1"/>
      <c r="T494" s="1"/>
      <c r="V494" s="1"/>
      <c r="X494" s="1"/>
    </row>
    <row r="495" spans="5:24" ht="15.75" customHeight="1" x14ac:dyDescent="0.3">
      <c r="E495" s="1"/>
      <c r="H495" s="2"/>
      <c r="J495" s="1"/>
      <c r="L495" s="1"/>
      <c r="N495" s="1"/>
      <c r="P495" s="1"/>
      <c r="R495" s="1"/>
      <c r="T495" s="1"/>
      <c r="V495" s="1"/>
      <c r="X495" s="1"/>
    </row>
    <row r="496" spans="5:24" ht="15.75" customHeight="1" x14ac:dyDescent="0.3">
      <c r="E496" s="1"/>
      <c r="H496" s="2"/>
      <c r="J496" s="1"/>
      <c r="L496" s="1"/>
      <c r="N496" s="1"/>
      <c r="P496" s="1"/>
      <c r="R496" s="1"/>
      <c r="T496" s="1"/>
      <c r="V496" s="1"/>
      <c r="X496" s="1"/>
    </row>
    <row r="497" spans="5:24" ht="15.75" customHeight="1" x14ac:dyDescent="0.3">
      <c r="E497" s="1"/>
      <c r="H497" s="2"/>
      <c r="J497" s="1"/>
      <c r="L497" s="1"/>
      <c r="N497" s="1"/>
      <c r="P497" s="1"/>
      <c r="R497" s="1"/>
      <c r="T497" s="1"/>
      <c r="V497" s="1"/>
      <c r="X497" s="1"/>
    </row>
    <row r="498" spans="5:24" ht="15.75" customHeight="1" x14ac:dyDescent="0.3">
      <c r="E498" s="1"/>
      <c r="H498" s="2"/>
      <c r="J498" s="1"/>
      <c r="L498" s="1"/>
      <c r="N498" s="1"/>
      <c r="P498" s="1"/>
      <c r="R498" s="1"/>
      <c r="T498" s="1"/>
      <c r="V498" s="1"/>
      <c r="X498" s="1"/>
    </row>
    <row r="499" spans="5:24" ht="15.75" customHeight="1" x14ac:dyDescent="0.3">
      <c r="E499" s="1"/>
      <c r="H499" s="2"/>
      <c r="J499" s="1"/>
      <c r="L499" s="1"/>
      <c r="N499" s="1"/>
      <c r="P499" s="1"/>
      <c r="R499" s="1"/>
      <c r="T499" s="1"/>
      <c r="V499" s="1"/>
      <c r="X499" s="1"/>
    </row>
    <row r="500" spans="5:24" ht="15.75" customHeight="1" x14ac:dyDescent="0.3">
      <c r="E500" s="1"/>
      <c r="H500" s="2"/>
      <c r="J500" s="1"/>
      <c r="L500" s="1"/>
      <c r="N500" s="1"/>
      <c r="P500" s="1"/>
      <c r="R500" s="1"/>
      <c r="T500" s="1"/>
      <c r="V500" s="1"/>
      <c r="X500" s="1"/>
    </row>
    <row r="501" spans="5:24" ht="15.75" customHeight="1" x14ac:dyDescent="0.3">
      <c r="E501" s="1"/>
      <c r="H501" s="2"/>
      <c r="J501" s="1"/>
      <c r="L501" s="1"/>
      <c r="N501" s="1"/>
      <c r="P501" s="1"/>
      <c r="R501" s="1"/>
      <c r="T501" s="1"/>
      <c r="V501" s="1"/>
      <c r="X501" s="1"/>
    </row>
    <row r="502" spans="5:24" ht="15.75" customHeight="1" x14ac:dyDescent="0.3">
      <c r="E502" s="1"/>
      <c r="H502" s="2"/>
      <c r="J502" s="1"/>
      <c r="L502" s="1"/>
      <c r="N502" s="1"/>
      <c r="P502" s="1"/>
      <c r="R502" s="1"/>
      <c r="T502" s="1"/>
      <c r="V502" s="1"/>
      <c r="X502" s="1"/>
    </row>
    <row r="503" spans="5:24" ht="15.75" customHeight="1" x14ac:dyDescent="0.3">
      <c r="E503" s="1"/>
      <c r="H503" s="2"/>
      <c r="J503" s="1"/>
      <c r="L503" s="1"/>
      <c r="N503" s="1"/>
      <c r="P503" s="1"/>
      <c r="R503" s="1"/>
      <c r="T503" s="1"/>
      <c r="V503" s="1"/>
      <c r="X503" s="1"/>
    </row>
    <row r="504" spans="5:24" ht="15.75" customHeight="1" x14ac:dyDescent="0.3">
      <c r="E504" s="1"/>
      <c r="H504" s="2"/>
      <c r="J504" s="1"/>
      <c r="L504" s="1"/>
      <c r="N504" s="1"/>
      <c r="P504" s="1"/>
      <c r="R504" s="1"/>
      <c r="T504" s="1"/>
      <c r="V504" s="1"/>
      <c r="X504" s="1"/>
    </row>
    <row r="505" spans="5:24" ht="15.75" customHeight="1" x14ac:dyDescent="0.3">
      <c r="E505" s="1"/>
      <c r="H505" s="2"/>
      <c r="J505" s="1"/>
      <c r="L505" s="1"/>
      <c r="N505" s="1"/>
      <c r="P505" s="1"/>
      <c r="R505" s="1"/>
      <c r="T505" s="1"/>
      <c r="V505" s="1"/>
      <c r="X505" s="1"/>
    </row>
    <row r="506" spans="5:24" ht="15.75" customHeight="1" x14ac:dyDescent="0.3">
      <c r="E506" s="1"/>
      <c r="H506" s="2"/>
      <c r="J506" s="1"/>
      <c r="L506" s="1"/>
      <c r="N506" s="1"/>
      <c r="P506" s="1"/>
      <c r="R506" s="1"/>
      <c r="T506" s="1"/>
      <c r="V506" s="1"/>
      <c r="X506" s="1"/>
    </row>
    <row r="507" spans="5:24" ht="15.75" customHeight="1" x14ac:dyDescent="0.3">
      <c r="E507" s="1"/>
      <c r="H507" s="2"/>
      <c r="J507" s="1"/>
      <c r="L507" s="1"/>
      <c r="N507" s="1"/>
      <c r="P507" s="1"/>
      <c r="R507" s="1"/>
      <c r="T507" s="1"/>
      <c r="V507" s="1"/>
      <c r="X507" s="1"/>
    </row>
    <row r="508" spans="5:24" ht="15.75" customHeight="1" x14ac:dyDescent="0.3">
      <c r="E508" s="1"/>
      <c r="H508" s="2"/>
      <c r="J508" s="1"/>
      <c r="L508" s="1"/>
      <c r="N508" s="1"/>
      <c r="P508" s="1"/>
      <c r="R508" s="1"/>
      <c r="T508" s="1"/>
      <c r="V508" s="1"/>
      <c r="X508" s="1"/>
    </row>
    <row r="509" spans="5:24" ht="15.75" customHeight="1" x14ac:dyDescent="0.3">
      <c r="E509" s="1"/>
      <c r="H509" s="2"/>
      <c r="J509" s="1"/>
      <c r="L509" s="1"/>
      <c r="N509" s="1"/>
      <c r="P509" s="1"/>
      <c r="R509" s="1"/>
      <c r="T509" s="1"/>
      <c r="V509" s="1"/>
      <c r="X509" s="1"/>
    </row>
    <row r="510" spans="5:24" ht="15.75" customHeight="1" x14ac:dyDescent="0.3">
      <c r="E510" s="1"/>
      <c r="H510" s="2"/>
      <c r="J510" s="1"/>
      <c r="L510" s="1"/>
      <c r="N510" s="1"/>
      <c r="P510" s="1"/>
      <c r="R510" s="1"/>
      <c r="T510" s="1"/>
      <c r="V510" s="1"/>
      <c r="X510" s="1"/>
    </row>
    <row r="511" spans="5:24" ht="15.75" customHeight="1" x14ac:dyDescent="0.3">
      <c r="E511" s="1"/>
      <c r="H511" s="2"/>
      <c r="J511" s="1"/>
      <c r="L511" s="1"/>
      <c r="N511" s="1"/>
      <c r="P511" s="1"/>
      <c r="R511" s="1"/>
      <c r="T511" s="1"/>
      <c r="V511" s="1"/>
      <c r="X511" s="1"/>
    </row>
    <row r="512" spans="5:24" ht="15.75" customHeight="1" x14ac:dyDescent="0.3">
      <c r="E512" s="1"/>
      <c r="H512" s="2"/>
      <c r="J512" s="1"/>
      <c r="L512" s="1"/>
      <c r="N512" s="1"/>
      <c r="P512" s="1"/>
      <c r="R512" s="1"/>
      <c r="T512" s="1"/>
      <c r="V512" s="1"/>
      <c r="X512" s="1"/>
    </row>
    <row r="513" spans="5:24" ht="15.75" customHeight="1" x14ac:dyDescent="0.3">
      <c r="E513" s="1"/>
      <c r="H513" s="2"/>
      <c r="J513" s="1"/>
      <c r="L513" s="1"/>
      <c r="N513" s="1"/>
      <c r="P513" s="1"/>
      <c r="R513" s="1"/>
      <c r="T513" s="1"/>
      <c r="V513" s="1"/>
      <c r="X513" s="1"/>
    </row>
    <row r="514" spans="5:24" ht="15.75" customHeight="1" x14ac:dyDescent="0.3">
      <c r="E514" s="1"/>
      <c r="H514" s="2"/>
      <c r="J514" s="1"/>
      <c r="L514" s="1"/>
      <c r="N514" s="1"/>
      <c r="P514" s="1"/>
      <c r="R514" s="1"/>
      <c r="T514" s="1"/>
      <c r="V514" s="1"/>
      <c r="X514" s="1"/>
    </row>
    <row r="515" spans="5:24" ht="15.75" customHeight="1" x14ac:dyDescent="0.3">
      <c r="E515" s="1"/>
      <c r="H515" s="2"/>
      <c r="J515" s="1"/>
      <c r="L515" s="1"/>
      <c r="N515" s="1"/>
      <c r="P515" s="1"/>
      <c r="R515" s="1"/>
      <c r="T515" s="1"/>
      <c r="V515" s="1"/>
      <c r="X515" s="1"/>
    </row>
    <row r="516" spans="5:24" ht="15.75" customHeight="1" x14ac:dyDescent="0.3">
      <c r="E516" s="1"/>
      <c r="H516" s="2"/>
      <c r="J516" s="1"/>
      <c r="L516" s="1"/>
      <c r="N516" s="1"/>
      <c r="P516" s="1"/>
      <c r="R516" s="1"/>
      <c r="T516" s="1"/>
      <c r="V516" s="1"/>
      <c r="X516" s="1"/>
    </row>
    <row r="517" spans="5:24" ht="15.75" customHeight="1" x14ac:dyDescent="0.3">
      <c r="E517" s="1"/>
      <c r="H517" s="2"/>
      <c r="J517" s="1"/>
      <c r="L517" s="1"/>
      <c r="N517" s="1"/>
      <c r="P517" s="1"/>
      <c r="R517" s="1"/>
      <c r="T517" s="1"/>
      <c r="V517" s="1"/>
      <c r="X517" s="1"/>
    </row>
    <row r="518" spans="5:24" ht="15.75" customHeight="1" x14ac:dyDescent="0.3">
      <c r="E518" s="1"/>
      <c r="H518" s="2"/>
      <c r="J518" s="1"/>
      <c r="L518" s="1"/>
      <c r="N518" s="1"/>
      <c r="P518" s="1"/>
      <c r="R518" s="1"/>
      <c r="T518" s="1"/>
      <c r="V518" s="1"/>
      <c r="X518" s="1"/>
    </row>
    <row r="519" spans="5:24" ht="15.75" customHeight="1" x14ac:dyDescent="0.3">
      <c r="E519" s="1"/>
      <c r="H519" s="2"/>
      <c r="J519" s="1"/>
      <c r="L519" s="1"/>
      <c r="N519" s="1"/>
      <c r="P519" s="1"/>
      <c r="R519" s="1"/>
      <c r="T519" s="1"/>
      <c r="V519" s="1"/>
      <c r="X519" s="1"/>
    </row>
    <row r="520" spans="5:24" ht="15.75" customHeight="1" x14ac:dyDescent="0.3">
      <c r="E520" s="1"/>
      <c r="H520" s="2"/>
      <c r="J520" s="1"/>
      <c r="L520" s="1"/>
      <c r="N520" s="1"/>
      <c r="P520" s="1"/>
      <c r="R520" s="1"/>
      <c r="T520" s="1"/>
      <c r="V520" s="1"/>
      <c r="X520" s="1"/>
    </row>
    <row r="521" spans="5:24" ht="15.75" customHeight="1" x14ac:dyDescent="0.3">
      <c r="E521" s="1"/>
      <c r="H521" s="2"/>
      <c r="J521" s="1"/>
      <c r="L521" s="1"/>
      <c r="N521" s="1"/>
      <c r="P521" s="1"/>
      <c r="R521" s="1"/>
      <c r="T521" s="1"/>
      <c r="V521" s="1"/>
      <c r="X521" s="1"/>
    </row>
    <row r="522" spans="5:24" ht="15.75" customHeight="1" x14ac:dyDescent="0.3">
      <c r="E522" s="1"/>
      <c r="H522" s="2"/>
      <c r="J522" s="1"/>
      <c r="L522" s="1"/>
      <c r="N522" s="1"/>
      <c r="P522" s="1"/>
      <c r="R522" s="1"/>
      <c r="T522" s="1"/>
      <c r="V522" s="1"/>
      <c r="X522" s="1"/>
    </row>
    <row r="523" spans="5:24" ht="15.75" customHeight="1" x14ac:dyDescent="0.3">
      <c r="E523" s="1"/>
      <c r="H523" s="2"/>
      <c r="J523" s="1"/>
      <c r="L523" s="1"/>
      <c r="N523" s="1"/>
      <c r="P523" s="1"/>
      <c r="R523" s="1"/>
      <c r="T523" s="1"/>
      <c r="V523" s="1"/>
      <c r="X523" s="1"/>
    </row>
    <row r="524" spans="5:24" ht="15.75" customHeight="1" x14ac:dyDescent="0.3">
      <c r="E524" s="1"/>
      <c r="H524" s="2"/>
      <c r="J524" s="1"/>
      <c r="L524" s="1"/>
      <c r="N524" s="1"/>
      <c r="P524" s="1"/>
      <c r="R524" s="1"/>
      <c r="T524" s="1"/>
      <c r="V524" s="1"/>
      <c r="X524" s="1"/>
    </row>
    <row r="525" spans="5:24" ht="15.75" customHeight="1" x14ac:dyDescent="0.3">
      <c r="E525" s="1"/>
      <c r="H525" s="2"/>
      <c r="J525" s="1"/>
      <c r="L525" s="1"/>
      <c r="N525" s="1"/>
      <c r="P525" s="1"/>
      <c r="R525" s="1"/>
      <c r="T525" s="1"/>
      <c r="V525" s="1"/>
      <c r="X525" s="1"/>
    </row>
    <row r="526" spans="5:24" ht="15.75" customHeight="1" x14ac:dyDescent="0.3">
      <c r="E526" s="1"/>
      <c r="H526" s="2"/>
      <c r="J526" s="1"/>
      <c r="L526" s="1"/>
      <c r="N526" s="1"/>
      <c r="P526" s="1"/>
      <c r="R526" s="1"/>
      <c r="T526" s="1"/>
      <c r="V526" s="1"/>
      <c r="X526" s="1"/>
    </row>
    <row r="527" spans="5:24" ht="15.75" customHeight="1" x14ac:dyDescent="0.3">
      <c r="E527" s="1"/>
      <c r="H527" s="2"/>
      <c r="J527" s="1"/>
      <c r="L527" s="1"/>
      <c r="N527" s="1"/>
      <c r="P527" s="1"/>
      <c r="R527" s="1"/>
      <c r="T527" s="1"/>
      <c r="V527" s="1"/>
      <c r="X527" s="1"/>
    </row>
    <row r="528" spans="5:24" ht="15.75" customHeight="1" x14ac:dyDescent="0.3">
      <c r="E528" s="1"/>
      <c r="H528" s="2"/>
      <c r="J528" s="1"/>
      <c r="L528" s="1"/>
      <c r="N528" s="1"/>
      <c r="P528" s="1"/>
      <c r="R528" s="1"/>
      <c r="T528" s="1"/>
      <c r="V528" s="1"/>
      <c r="X528" s="1"/>
    </row>
    <row r="529" spans="5:24" ht="15.75" customHeight="1" x14ac:dyDescent="0.3">
      <c r="E529" s="1"/>
      <c r="H529" s="2"/>
      <c r="J529" s="1"/>
      <c r="L529" s="1"/>
      <c r="N529" s="1"/>
      <c r="P529" s="1"/>
      <c r="R529" s="1"/>
      <c r="T529" s="1"/>
      <c r="V529" s="1"/>
      <c r="X529" s="1"/>
    </row>
    <row r="530" spans="5:24" ht="15.75" customHeight="1" x14ac:dyDescent="0.3">
      <c r="E530" s="1"/>
      <c r="H530" s="2"/>
      <c r="J530" s="1"/>
      <c r="L530" s="1"/>
      <c r="N530" s="1"/>
      <c r="P530" s="1"/>
      <c r="R530" s="1"/>
      <c r="T530" s="1"/>
      <c r="V530" s="1"/>
      <c r="X530" s="1"/>
    </row>
    <row r="531" spans="5:24" ht="15.75" customHeight="1" x14ac:dyDescent="0.3">
      <c r="E531" s="1"/>
      <c r="H531" s="2"/>
      <c r="J531" s="1"/>
      <c r="L531" s="1"/>
      <c r="N531" s="1"/>
      <c r="P531" s="1"/>
      <c r="R531" s="1"/>
      <c r="T531" s="1"/>
      <c r="V531" s="1"/>
      <c r="X531" s="1"/>
    </row>
    <row r="532" spans="5:24" ht="15.75" customHeight="1" x14ac:dyDescent="0.3">
      <c r="E532" s="1"/>
      <c r="H532" s="2"/>
      <c r="J532" s="1"/>
      <c r="L532" s="1"/>
      <c r="N532" s="1"/>
      <c r="P532" s="1"/>
      <c r="R532" s="1"/>
      <c r="T532" s="1"/>
      <c r="V532" s="1"/>
      <c r="X532" s="1"/>
    </row>
    <row r="533" spans="5:24" ht="15.75" customHeight="1" x14ac:dyDescent="0.3">
      <c r="E533" s="1"/>
      <c r="H533" s="2"/>
      <c r="J533" s="1"/>
      <c r="L533" s="1"/>
      <c r="N533" s="1"/>
      <c r="P533" s="1"/>
      <c r="R533" s="1"/>
      <c r="T533" s="1"/>
      <c r="V533" s="1"/>
      <c r="X533" s="1"/>
    </row>
    <row r="534" spans="5:24" ht="15.75" customHeight="1" x14ac:dyDescent="0.3">
      <c r="E534" s="1"/>
      <c r="H534" s="2"/>
      <c r="J534" s="1"/>
      <c r="L534" s="1"/>
      <c r="N534" s="1"/>
      <c r="P534" s="1"/>
      <c r="R534" s="1"/>
      <c r="T534" s="1"/>
      <c r="V534" s="1"/>
      <c r="X534" s="1"/>
    </row>
    <row r="535" spans="5:24" ht="15.75" customHeight="1" x14ac:dyDescent="0.3">
      <c r="E535" s="1"/>
      <c r="H535" s="2"/>
      <c r="J535" s="1"/>
      <c r="L535" s="1"/>
      <c r="N535" s="1"/>
      <c r="P535" s="1"/>
      <c r="R535" s="1"/>
      <c r="T535" s="1"/>
      <c r="V535" s="1"/>
      <c r="X535" s="1"/>
    </row>
    <row r="536" spans="5:24" ht="15.75" customHeight="1" x14ac:dyDescent="0.3">
      <c r="E536" s="1"/>
      <c r="H536" s="2"/>
      <c r="J536" s="1"/>
      <c r="L536" s="1"/>
      <c r="N536" s="1"/>
      <c r="P536" s="1"/>
      <c r="R536" s="1"/>
      <c r="T536" s="1"/>
      <c r="V536" s="1"/>
      <c r="X536" s="1"/>
    </row>
    <row r="537" spans="5:24" ht="15.75" customHeight="1" x14ac:dyDescent="0.3">
      <c r="E537" s="1"/>
      <c r="H537" s="2"/>
      <c r="J537" s="1"/>
      <c r="L537" s="1"/>
      <c r="N537" s="1"/>
      <c r="P537" s="1"/>
      <c r="R537" s="1"/>
      <c r="T537" s="1"/>
      <c r="V537" s="1"/>
      <c r="X537" s="1"/>
    </row>
    <row r="538" spans="5:24" ht="15.75" customHeight="1" x14ac:dyDescent="0.3">
      <c r="E538" s="1"/>
      <c r="H538" s="2"/>
      <c r="J538" s="1"/>
      <c r="L538" s="1"/>
      <c r="N538" s="1"/>
      <c r="P538" s="1"/>
      <c r="R538" s="1"/>
      <c r="T538" s="1"/>
      <c r="V538" s="1"/>
      <c r="X538" s="1"/>
    </row>
    <row r="539" spans="5:24" ht="15.75" customHeight="1" x14ac:dyDescent="0.3">
      <c r="E539" s="1"/>
      <c r="H539" s="2"/>
      <c r="J539" s="1"/>
      <c r="L539" s="1"/>
      <c r="N539" s="1"/>
      <c r="P539" s="1"/>
      <c r="R539" s="1"/>
      <c r="T539" s="1"/>
      <c r="V539" s="1"/>
      <c r="X539" s="1"/>
    </row>
    <row r="540" spans="5:24" ht="15.75" customHeight="1" x14ac:dyDescent="0.3">
      <c r="E540" s="1"/>
      <c r="H540" s="2"/>
      <c r="J540" s="1"/>
      <c r="L540" s="1"/>
      <c r="N540" s="1"/>
      <c r="P540" s="1"/>
      <c r="R540" s="1"/>
      <c r="T540" s="1"/>
      <c r="V540" s="1"/>
      <c r="X540" s="1"/>
    </row>
    <row r="541" spans="5:24" ht="15.75" customHeight="1" x14ac:dyDescent="0.3">
      <c r="E541" s="1"/>
      <c r="H541" s="2"/>
      <c r="J541" s="1"/>
      <c r="L541" s="1"/>
      <c r="N541" s="1"/>
      <c r="P541" s="1"/>
      <c r="R541" s="1"/>
      <c r="T541" s="1"/>
      <c r="V541" s="1"/>
      <c r="X541" s="1"/>
    </row>
    <row r="542" spans="5:24" ht="15.75" customHeight="1" x14ac:dyDescent="0.3">
      <c r="E542" s="1"/>
      <c r="H542" s="2"/>
      <c r="J542" s="1"/>
      <c r="L542" s="1"/>
      <c r="N542" s="1"/>
      <c r="P542" s="1"/>
      <c r="R542" s="1"/>
      <c r="T542" s="1"/>
      <c r="V542" s="1"/>
      <c r="X542" s="1"/>
    </row>
    <row r="543" spans="5:24" ht="15.75" customHeight="1" x14ac:dyDescent="0.3">
      <c r="E543" s="1"/>
      <c r="H543" s="2"/>
      <c r="J543" s="1"/>
      <c r="L543" s="1"/>
      <c r="N543" s="1"/>
      <c r="P543" s="1"/>
      <c r="R543" s="1"/>
      <c r="T543" s="1"/>
      <c r="V543" s="1"/>
      <c r="X543" s="1"/>
    </row>
    <row r="544" spans="5:24" ht="15.75" customHeight="1" x14ac:dyDescent="0.3">
      <c r="E544" s="1"/>
      <c r="H544" s="2"/>
      <c r="J544" s="1"/>
      <c r="L544" s="1"/>
      <c r="N544" s="1"/>
      <c r="P544" s="1"/>
      <c r="R544" s="1"/>
      <c r="T544" s="1"/>
      <c r="V544" s="1"/>
      <c r="X544" s="1"/>
    </row>
    <row r="545" spans="5:24" ht="15.75" customHeight="1" x14ac:dyDescent="0.3">
      <c r="E545" s="1"/>
      <c r="H545" s="2"/>
      <c r="J545" s="1"/>
      <c r="L545" s="1"/>
      <c r="N545" s="1"/>
      <c r="P545" s="1"/>
      <c r="R545" s="1"/>
      <c r="T545" s="1"/>
      <c r="V545" s="1"/>
      <c r="X545" s="1"/>
    </row>
    <row r="546" spans="5:24" ht="15.75" customHeight="1" x14ac:dyDescent="0.3">
      <c r="E546" s="1"/>
      <c r="H546" s="2"/>
      <c r="J546" s="1"/>
      <c r="L546" s="1"/>
      <c r="N546" s="1"/>
      <c r="P546" s="1"/>
      <c r="R546" s="1"/>
      <c r="T546" s="1"/>
      <c r="V546" s="1"/>
      <c r="X546" s="1"/>
    </row>
    <row r="547" spans="5:24" ht="15.75" customHeight="1" x14ac:dyDescent="0.3">
      <c r="E547" s="1"/>
      <c r="H547" s="2"/>
      <c r="J547" s="1"/>
      <c r="L547" s="1"/>
      <c r="N547" s="1"/>
      <c r="P547" s="1"/>
      <c r="R547" s="1"/>
      <c r="T547" s="1"/>
      <c r="V547" s="1"/>
      <c r="X547" s="1"/>
    </row>
    <row r="548" spans="5:24" ht="15.75" customHeight="1" x14ac:dyDescent="0.3">
      <c r="E548" s="1"/>
      <c r="H548" s="2"/>
      <c r="J548" s="1"/>
      <c r="L548" s="1"/>
      <c r="N548" s="1"/>
      <c r="P548" s="1"/>
      <c r="R548" s="1"/>
      <c r="T548" s="1"/>
      <c r="V548" s="1"/>
      <c r="X548" s="1"/>
    </row>
    <row r="549" spans="5:24" ht="15.75" customHeight="1" x14ac:dyDescent="0.3">
      <c r="E549" s="1"/>
      <c r="H549" s="2"/>
      <c r="J549" s="1"/>
      <c r="L549" s="1"/>
      <c r="N549" s="1"/>
      <c r="P549" s="1"/>
      <c r="R549" s="1"/>
      <c r="T549" s="1"/>
      <c r="V549" s="1"/>
      <c r="X549" s="1"/>
    </row>
    <row r="550" spans="5:24" ht="15.75" customHeight="1" x14ac:dyDescent="0.3">
      <c r="E550" s="1"/>
      <c r="H550" s="2"/>
      <c r="J550" s="1"/>
      <c r="L550" s="1"/>
      <c r="N550" s="1"/>
      <c r="P550" s="1"/>
      <c r="R550" s="1"/>
      <c r="T550" s="1"/>
      <c r="V550" s="1"/>
      <c r="X550" s="1"/>
    </row>
    <row r="551" spans="5:24" ht="15.75" customHeight="1" x14ac:dyDescent="0.3">
      <c r="E551" s="1"/>
      <c r="H551" s="2"/>
      <c r="J551" s="1"/>
      <c r="L551" s="1"/>
      <c r="N551" s="1"/>
      <c r="P551" s="1"/>
      <c r="R551" s="1"/>
      <c r="T551" s="1"/>
      <c r="V551" s="1"/>
      <c r="X551" s="1"/>
    </row>
    <row r="552" spans="5:24" ht="15.75" customHeight="1" x14ac:dyDescent="0.3">
      <c r="E552" s="1"/>
      <c r="H552" s="2"/>
      <c r="J552" s="1"/>
      <c r="L552" s="1"/>
      <c r="N552" s="1"/>
      <c r="P552" s="1"/>
      <c r="R552" s="1"/>
      <c r="T552" s="1"/>
      <c r="V552" s="1"/>
      <c r="X552" s="1"/>
    </row>
    <row r="553" spans="5:24" ht="15.75" customHeight="1" x14ac:dyDescent="0.3">
      <c r="E553" s="1"/>
      <c r="H553" s="2"/>
      <c r="J553" s="1"/>
      <c r="L553" s="1"/>
      <c r="N553" s="1"/>
      <c r="P553" s="1"/>
      <c r="R553" s="1"/>
      <c r="T553" s="1"/>
      <c r="V553" s="1"/>
      <c r="X553" s="1"/>
    </row>
    <row r="554" spans="5:24" ht="15.75" customHeight="1" x14ac:dyDescent="0.3">
      <c r="E554" s="1"/>
      <c r="H554" s="2"/>
      <c r="J554" s="1"/>
      <c r="L554" s="1"/>
      <c r="N554" s="1"/>
      <c r="P554" s="1"/>
      <c r="R554" s="1"/>
      <c r="T554" s="1"/>
      <c r="V554" s="1"/>
      <c r="X554" s="1"/>
    </row>
    <row r="555" spans="5:24" ht="15.75" customHeight="1" x14ac:dyDescent="0.3">
      <c r="E555" s="1"/>
      <c r="H555" s="2"/>
      <c r="J555" s="1"/>
      <c r="L555" s="1"/>
      <c r="N555" s="1"/>
      <c r="P555" s="1"/>
      <c r="R555" s="1"/>
      <c r="T555" s="1"/>
      <c r="V555" s="1"/>
      <c r="X555" s="1"/>
    </row>
    <row r="556" spans="5:24" ht="15.75" customHeight="1" x14ac:dyDescent="0.3">
      <c r="E556" s="1"/>
      <c r="H556" s="2"/>
      <c r="J556" s="1"/>
      <c r="L556" s="1"/>
      <c r="N556" s="1"/>
      <c r="P556" s="1"/>
      <c r="R556" s="1"/>
      <c r="T556" s="1"/>
      <c r="V556" s="1"/>
      <c r="X556" s="1"/>
    </row>
    <row r="557" spans="5:24" ht="15.75" customHeight="1" x14ac:dyDescent="0.3">
      <c r="E557" s="1"/>
      <c r="H557" s="2"/>
      <c r="J557" s="1"/>
      <c r="L557" s="1"/>
      <c r="N557" s="1"/>
      <c r="P557" s="1"/>
      <c r="R557" s="1"/>
      <c r="T557" s="1"/>
      <c r="V557" s="1"/>
      <c r="X557" s="1"/>
    </row>
    <row r="558" spans="5:24" ht="15.75" customHeight="1" x14ac:dyDescent="0.3">
      <c r="E558" s="1"/>
      <c r="H558" s="2"/>
      <c r="J558" s="1"/>
      <c r="L558" s="1"/>
      <c r="N558" s="1"/>
      <c r="P558" s="1"/>
      <c r="R558" s="1"/>
      <c r="T558" s="1"/>
      <c r="V558" s="1"/>
      <c r="X558" s="1"/>
    </row>
    <row r="559" spans="5:24" ht="15.75" customHeight="1" x14ac:dyDescent="0.3">
      <c r="E559" s="1"/>
      <c r="H559" s="2"/>
      <c r="J559" s="1"/>
      <c r="L559" s="1"/>
      <c r="N559" s="1"/>
      <c r="P559" s="1"/>
      <c r="R559" s="1"/>
      <c r="T559" s="1"/>
      <c r="V559" s="1"/>
      <c r="X559" s="1"/>
    </row>
    <row r="560" spans="5:24" ht="15.75" customHeight="1" x14ac:dyDescent="0.3">
      <c r="E560" s="1"/>
      <c r="H560" s="2"/>
      <c r="J560" s="1"/>
      <c r="L560" s="1"/>
      <c r="N560" s="1"/>
      <c r="P560" s="1"/>
      <c r="R560" s="1"/>
      <c r="T560" s="1"/>
      <c r="V560" s="1"/>
      <c r="X560" s="1"/>
    </row>
    <row r="561" spans="5:24" ht="15.75" customHeight="1" x14ac:dyDescent="0.3">
      <c r="E561" s="1"/>
      <c r="H561" s="2"/>
      <c r="J561" s="1"/>
      <c r="L561" s="1"/>
      <c r="N561" s="1"/>
      <c r="P561" s="1"/>
      <c r="R561" s="1"/>
      <c r="T561" s="1"/>
      <c r="V561" s="1"/>
      <c r="X561" s="1"/>
    </row>
    <row r="562" spans="5:24" ht="15.75" customHeight="1" x14ac:dyDescent="0.3">
      <c r="E562" s="1"/>
      <c r="H562" s="2"/>
      <c r="J562" s="1"/>
      <c r="L562" s="1"/>
      <c r="N562" s="1"/>
      <c r="P562" s="1"/>
      <c r="R562" s="1"/>
      <c r="T562" s="1"/>
      <c r="V562" s="1"/>
      <c r="X562" s="1"/>
    </row>
    <row r="563" spans="5:24" ht="15.75" customHeight="1" x14ac:dyDescent="0.3">
      <c r="E563" s="1"/>
      <c r="H563" s="2"/>
      <c r="J563" s="1"/>
      <c r="L563" s="1"/>
      <c r="N563" s="1"/>
      <c r="P563" s="1"/>
      <c r="R563" s="1"/>
      <c r="T563" s="1"/>
      <c r="V563" s="1"/>
      <c r="X563" s="1"/>
    </row>
    <row r="564" spans="5:24" ht="15.75" customHeight="1" x14ac:dyDescent="0.3">
      <c r="E564" s="1"/>
      <c r="H564" s="2"/>
      <c r="J564" s="1"/>
      <c r="L564" s="1"/>
      <c r="N564" s="1"/>
      <c r="P564" s="1"/>
      <c r="R564" s="1"/>
      <c r="T564" s="1"/>
      <c r="V564" s="1"/>
      <c r="X564" s="1"/>
    </row>
    <row r="565" spans="5:24" ht="15.75" customHeight="1" x14ac:dyDescent="0.3">
      <c r="E565" s="1"/>
      <c r="H565" s="2"/>
      <c r="J565" s="1"/>
      <c r="L565" s="1"/>
      <c r="N565" s="1"/>
      <c r="P565" s="1"/>
      <c r="R565" s="1"/>
      <c r="T565" s="1"/>
      <c r="V565" s="1"/>
      <c r="X565" s="1"/>
    </row>
    <row r="566" spans="5:24" ht="15.75" customHeight="1" x14ac:dyDescent="0.3">
      <c r="E566" s="1"/>
      <c r="H566" s="2"/>
      <c r="J566" s="1"/>
      <c r="L566" s="1"/>
      <c r="N566" s="1"/>
      <c r="P566" s="1"/>
      <c r="R566" s="1"/>
      <c r="T566" s="1"/>
      <c r="V566" s="1"/>
      <c r="X566" s="1"/>
    </row>
    <row r="567" spans="5:24" ht="15.75" customHeight="1" x14ac:dyDescent="0.3">
      <c r="E567" s="1"/>
      <c r="H567" s="2"/>
      <c r="J567" s="1"/>
      <c r="L567" s="1"/>
      <c r="N567" s="1"/>
      <c r="P567" s="1"/>
      <c r="R567" s="1"/>
      <c r="T567" s="1"/>
      <c r="V567" s="1"/>
      <c r="X567" s="1"/>
    </row>
    <row r="568" spans="5:24" ht="15.75" customHeight="1" x14ac:dyDescent="0.3">
      <c r="E568" s="1"/>
      <c r="H568" s="2"/>
      <c r="J568" s="1"/>
      <c r="L568" s="1"/>
      <c r="N568" s="1"/>
      <c r="P568" s="1"/>
      <c r="R568" s="1"/>
      <c r="T568" s="1"/>
      <c r="V568" s="1"/>
      <c r="X568" s="1"/>
    </row>
    <row r="569" spans="5:24" ht="15.75" customHeight="1" x14ac:dyDescent="0.3">
      <c r="E569" s="1"/>
      <c r="H569" s="2"/>
      <c r="J569" s="1"/>
      <c r="L569" s="1"/>
      <c r="N569" s="1"/>
      <c r="P569" s="1"/>
      <c r="R569" s="1"/>
      <c r="T569" s="1"/>
      <c r="V569" s="1"/>
      <c r="X569" s="1"/>
    </row>
    <row r="570" spans="5:24" ht="15.75" customHeight="1" x14ac:dyDescent="0.3">
      <c r="E570" s="1"/>
      <c r="H570" s="2"/>
      <c r="J570" s="1"/>
      <c r="L570" s="1"/>
      <c r="N570" s="1"/>
      <c r="P570" s="1"/>
      <c r="R570" s="1"/>
      <c r="T570" s="1"/>
      <c r="V570" s="1"/>
      <c r="X570" s="1"/>
    </row>
    <row r="571" spans="5:24" ht="15.75" customHeight="1" x14ac:dyDescent="0.3">
      <c r="E571" s="1"/>
      <c r="H571" s="2"/>
      <c r="J571" s="1"/>
      <c r="L571" s="1"/>
      <c r="N571" s="1"/>
      <c r="P571" s="1"/>
      <c r="R571" s="1"/>
      <c r="T571" s="1"/>
      <c r="V571" s="1"/>
      <c r="X571" s="1"/>
    </row>
    <row r="572" spans="5:24" ht="15.75" customHeight="1" x14ac:dyDescent="0.3">
      <c r="E572" s="1"/>
      <c r="H572" s="2"/>
      <c r="J572" s="1"/>
      <c r="L572" s="1"/>
      <c r="N572" s="1"/>
      <c r="P572" s="1"/>
      <c r="R572" s="1"/>
      <c r="T572" s="1"/>
      <c r="V572" s="1"/>
      <c r="X572" s="1"/>
    </row>
    <row r="573" spans="5:24" ht="15.75" customHeight="1" x14ac:dyDescent="0.3">
      <c r="E573" s="1"/>
      <c r="H573" s="2"/>
      <c r="J573" s="1"/>
      <c r="L573" s="1"/>
      <c r="N573" s="1"/>
      <c r="P573" s="1"/>
      <c r="R573" s="1"/>
      <c r="T573" s="1"/>
      <c r="V573" s="1"/>
      <c r="X573" s="1"/>
    </row>
    <row r="574" spans="5:24" ht="15.75" customHeight="1" x14ac:dyDescent="0.3">
      <c r="E574" s="1"/>
      <c r="H574" s="2"/>
      <c r="J574" s="1"/>
      <c r="L574" s="1"/>
      <c r="N574" s="1"/>
      <c r="P574" s="1"/>
      <c r="R574" s="1"/>
      <c r="T574" s="1"/>
      <c r="V574" s="1"/>
      <c r="X574" s="1"/>
    </row>
    <row r="575" spans="5:24" ht="15.75" customHeight="1" x14ac:dyDescent="0.3">
      <c r="E575" s="1"/>
      <c r="H575" s="2"/>
      <c r="J575" s="1"/>
      <c r="L575" s="1"/>
      <c r="N575" s="1"/>
      <c r="P575" s="1"/>
      <c r="R575" s="1"/>
      <c r="T575" s="1"/>
      <c r="V575" s="1"/>
      <c r="X575" s="1"/>
    </row>
    <row r="576" spans="5:24" ht="15.75" customHeight="1" x14ac:dyDescent="0.3">
      <c r="E576" s="1"/>
      <c r="H576" s="2"/>
      <c r="J576" s="1"/>
      <c r="L576" s="1"/>
      <c r="N576" s="1"/>
      <c r="P576" s="1"/>
      <c r="R576" s="1"/>
      <c r="T576" s="1"/>
      <c r="V576" s="1"/>
      <c r="X576" s="1"/>
    </row>
    <row r="577" spans="5:24" ht="15.75" customHeight="1" x14ac:dyDescent="0.3">
      <c r="E577" s="1"/>
      <c r="H577" s="2"/>
      <c r="J577" s="1"/>
      <c r="L577" s="1"/>
      <c r="N577" s="1"/>
      <c r="P577" s="1"/>
      <c r="R577" s="1"/>
      <c r="T577" s="1"/>
      <c r="V577" s="1"/>
      <c r="X577" s="1"/>
    </row>
    <row r="578" spans="5:24" ht="15.75" customHeight="1" x14ac:dyDescent="0.3">
      <c r="E578" s="1"/>
      <c r="H578" s="2"/>
      <c r="J578" s="1"/>
      <c r="L578" s="1"/>
      <c r="N578" s="1"/>
      <c r="P578" s="1"/>
      <c r="R578" s="1"/>
      <c r="T578" s="1"/>
      <c r="V578" s="1"/>
      <c r="X578" s="1"/>
    </row>
    <row r="579" spans="5:24" ht="15.75" customHeight="1" x14ac:dyDescent="0.3">
      <c r="E579" s="1"/>
      <c r="H579" s="2"/>
      <c r="J579" s="1"/>
      <c r="L579" s="1"/>
      <c r="N579" s="1"/>
      <c r="P579" s="1"/>
      <c r="R579" s="1"/>
      <c r="T579" s="1"/>
      <c r="V579" s="1"/>
      <c r="X579" s="1"/>
    </row>
    <row r="580" spans="5:24" ht="15.75" customHeight="1" x14ac:dyDescent="0.3">
      <c r="E580" s="1"/>
      <c r="H580" s="2"/>
      <c r="J580" s="1"/>
      <c r="L580" s="1"/>
      <c r="N580" s="1"/>
      <c r="P580" s="1"/>
      <c r="R580" s="1"/>
      <c r="T580" s="1"/>
      <c r="V580" s="1"/>
      <c r="X580" s="1"/>
    </row>
    <row r="581" spans="5:24" ht="15.75" customHeight="1" x14ac:dyDescent="0.3">
      <c r="E581" s="1"/>
      <c r="H581" s="2"/>
      <c r="J581" s="1"/>
      <c r="L581" s="1"/>
      <c r="N581" s="1"/>
      <c r="P581" s="1"/>
      <c r="R581" s="1"/>
      <c r="T581" s="1"/>
      <c r="V581" s="1"/>
      <c r="X581" s="1"/>
    </row>
    <row r="582" spans="5:24" ht="15.75" customHeight="1" x14ac:dyDescent="0.3">
      <c r="E582" s="1"/>
      <c r="H582" s="2"/>
      <c r="J582" s="1"/>
      <c r="L582" s="1"/>
      <c r="N582" s="1"/>
      <c r="P582" s="1"/>
      <c r="R582" s="1"/>
      <c r="T582" s="1"/>
      <c r="V582" s="1"/>
      <c r="X582" s="1"/>
    </row>
    <row r="583" spans="5:24" ht="15.75" customHeight="1" x14ac:dyDescent="0.3">
      <c r="E583" s="1"/>
      <c r="H583" s="2"/>
      <c r="J583" s="1"/>
      <c r="L583" s="1"/>
      <c r="N583" s="1"/>
      <c r="P583" s="1"/>
      <c r="R583" s="1"/>
      <c r="T583" s="1"/>
      <c r="V583" s="1"/>
      <c r="X583" s="1"/>
    </row>
    <row r="584" spans="5:24" ht="15.75" customHeight="1" x14ac:dyDescent="0.3">
      <c r="E584" s="1"/>
      <c r="H584" s="2"/>
      <c r="J584" s="1"/>
      <c r="L584" s="1"/>
      <c r="N584" s="1"/>
      <c r="P584" s="1"/>
      <c r="R584" s="1"/>
      <c r="T584" s="1"/>
      <c r="V584" s="1"/>
      <c r="X584" s="1"/>
    </row>
    <row r="585" spans="5:24" ht="15.75" customHeight="1" x14ac:dyDescent="0.3">
      <c r="E585" s="1"/>
      <c r="H585" s="2"/>
      <c r="J585" s="1"/>
      <c r="L585" s="1"/>
      <c r="N585" s="1"/>
      <c r="P585" s="1"/>
      <c r="R585" s="1"/>
      <c r="T585" s="1"/>
      <c r="V585" s="1"/>
      <c r="X585" s="1"/>
    </row>
    <row r="586" spans="5:24" ht="15.75" customHeight="1" x14ac:dyDescent="0.3">
      <c r="E586" s="1"/>
      <c r="H586" s="2"/>
      <c r="J586" s="1"/>
      <c r="L586" s="1"/>
      <c r="N586" s="1"/>
      <c r="P586" s="1"/>
      <c r="R586" s="1"/>
      <c r="T586" s="1"/>
      <c r="V586" s="1"/>
      <c r="X586" s="1"/>
    </row>
    <row r="587" spans="5:24" ht="15.75" customHeight="1" x14ac:dyDescent="0.3">
      <c r="E587" s="1"/>
      <c r="H587" s="2"/>
      <c r="J587" s="1"/>
      <c r="L587" s="1"/>
      <c r="N587" s="1"/>
      <c r="P587" s="1"/>
      <c r="R587" s="1"/>
      <c r="T587" s="1"/>
      <c r="V587" s="1"/>
      <c r="X587" s="1"/>
    </row>
    <row r="588" spans="5:24" ht="15.75" customHeight="1" x14ac:dyDescent="0.3">
      <c r="E588" s="1"/>
      <c r="H588" s="2"/>
      <c r="J588" s="1"/>
      <c r="L588" s="1"/>
      <c r="N588" s="1"/>
      <c r="P588" s="1"/>
      <c r="R588" s="1"/>
      <c r="T588" s="1"/>
      <c r="V588" s="1"/>
      <c r="X588" s="1"/>
    </row>
    <row r="589" spans="5:24" ht="15.75" customHeight="1" x14ac:dyDescent="0.3">
      <c r="E589" s="1"/>
      <c r="H589" s="2"/>
      <c r="J589" s="1"/>
      <c r="L589" s="1"/>
      <c r="N589" s="1"/>
      <c r="P589" s="1"/>
      <c r="R589" s="1"/>
      <c r="T589" s="1"/>
      <c r="V589" s="1"/>
      <c r="X589" s="1"/>
    </row>
    <row r="590" spans="5:24" ht="15.75" customHeight="1" x14ac:dyDescent="0.3">
      <c r="E590" s="1"/>
      <c r="H590" s="2"/>
      <c r="J590" s="1"/>
      <c r="L590" s="1"/>
      <c r="N590" s="1"/>
      <c r="P590" s="1"/>
      <c r="R590" s="1"/>
      <c r="T590" s="1"/>
      <c r="V590" s="1"/>
      <c r="X590" s="1"/>
    </row>
    <row r="591" spans="5:24" ht="15.75" customHeight="1" x14ac:dyDescent="0.3">
      <c r="E591" s="1"/>
      <c r="H591" s="2"/>
      <c r="J591" s="1"/>
      <c r="L591" s="1"/>
      <c r="N591" s="1"/>
      <c r="P591" s="1"/>
      <c r="R591" s="1"/>
      <c r="T591" s="1"/>
      <c r="V591" s="1"/>
      <c r="X591" s="1"/>
    </row>
    <row r="592" spans="5:24" ht="15.75" customHeight="1" x14ac:dyDescent="0.3">
      <c r="E592" s="1"/>
      <c r="H592" s="2"/>
      <c r="J592" s="1"/>
      <c r="L592" s="1"/>
      <c r="N592" s="1"/>
      <c r="P592" s="1"/>
      <c r="R592" s="1"/>
      <c r="T592" s="1"/>
      <c r="V592" s="1"/>
      <c r="X592" s="1"/>
    </row>
    <row r="593" spans="5:24" ht="15.75" customHeight="1" x14ac:dyDescent="0.3">
      <c r="E593" s="1"/>
      <c r="H593" s="2"/>
      <c r="J593" s="1"/>
      <c r="L593" s="1"/>
      <c r="N593" s="1"/>
      <c r="P593" s="1"/>
      <c r="R593" s="1"/>
      <c r="T593" s="1"/>
      <c r="V593" s="1"/>
      <c r="X593" s="1"/>
    </row>
    <row r="594" spans="5:24" ht="15.75" customHeight="1" x14ac:dyDescent="0.3">
      <c r="E594" s="1"/>
      <c r="H594" s="2"/>
      <c r="J594" s="1"/>
      <c r="L594" s="1"/>
      <c r="N594" s="1"/>
      <c r="P594" s="1"/>
      <c r="R594" s="1"/>
      <c r="T594" s="1"/>
      <c r="V594" s="1"/>
      <c r="X594" s="1"/>
    </row>
    <row r="595" spans="5:24" ht="15.75" customHeight="1" x14ac:dyDescent="0.3">
      <c r="E595" s="1"/>
      <c r="H595" s="2"/>
      <c r="J595" s="1"/>
      <c r="L595" s="1"/>
      <c r="N595" s="1"/>
      <c r="P595" s="1"/>
      <c r="R595" s="1"/>
      <c r="T595" s="1"/>
      <c r="V595" s="1"/>
      <c r="X595" s="1"/>
    </row>
    <row r="596" spans="5:24" ht="15.75" customHeight="1" x14ac:dyDescent="0.3">
      <c r="E596" s="1"/>
      <c r="H596" s="2"/>
      <c r="J596" s="1"/>
      <c r="L596" s="1"/>
      <c r="N596" s="1"/>
      <c r="P596" s="1"/>
      <c r="R596" s="1"/>
      <c r="T596" s="1"/>
      <c r="V596" s="1"/>
      <c r="X596" s="1"/>
    </row>
    <row r="597" spans="5:24" ht="15.75" customHeight="1" x14ac:dyDescent="0.3">
      <c r="E597" s="1"/>
      <c r="H597" s="2"/>
      <c r="J597" s="1"/>
      <c r="L597" s="1"/>
      <c r="N597" s="1"/>
      <c r="P597" s="1"/>
      <c r="R597" s="1"/>
      <c r="T597" s="1"/>
      <c r="V597" s="1"/>
      <c r="X597" s="1"/>
    </row>
    <row r="598" spans="5:24" ht="15.75" customHeight="1" x14ac:dyDescent="0.3">
      <c r="E598" s="1"/>
      <c r="H598" s="2"/>
      <c r="J598" s="1"/>
      <c r="L598" s="1"/>
      <c r="N598" s="1"/>
      <c r="P598" s="1"/>
      <c r="R598" s="1"/>
      <c r="T598" s="1"/>
      <c r="V598" s="1"/>
      <c r="X598" s="1"/>
    </row>
    <row r="599" spans="5:24" ht="15.75" customHeight="1" x14ac:dyDescent="0.3">
      <c r="E599" s="1"/>
      <c r="H599" s="2"/>
      <c r="J599" s="1"/>
      <c r="L599" s="1"/>
      <c r="N599" s="1"/>
      <c r="P599" s="1"/>
      <c r="R599" s="1"/>
      <c r="T599" s="1"/>
      <c r="V599" s="1"/>
      <c r="X599" s="1"/>
    </row>
    <row r="600" spans="5:24" ht="15.75" customHeight="1" x14ac:dyDescent="0.3">
      <c r="E600" s="1"/>
      <c r="H600" s="2"/>
      <c r="J600" s="1"/>
      <c r="L600" s="1"/>
      <c r="N600" s="1"/>
      <c r="P600" s="1"/>
      <c r="R600" s="1"/>
      <c r="T600" s="1"/>
      <c r="V600" s="1"/>
      <c r="X600" s="1"/>
    </row>
    <row r="601" spans="5:24" ht="15.75" customHeight="1" x14ac:dyDescent="0.3">
      <c r="E601" s="1"/>
      <c r="H601" s="2"/>
      <c r="J601" s="1"/>
      <c r="L601" s="1"/>
      <c r="N601" s="1"/>
      <c r="P601" s="1"/>
      <c r="R601" s="1"/>
      <c r="T601" s="1"/>
      <c r="V601" s="1"/>
      <c r="X601" s="1"/>
    </row>
    <row r="602" spans="5:24" ht="15.75" customHeight="1" x14ac:dyDescent="0.3">
      <c r="E602" s="1"/>
      <c r="H602" s="2"/>
      <c r="J602" s="1"/>
      <c r="L602" s="1"/>
      <c r="N602" s="1"/>
      <c r="P602" s="1"/>
      <c r="R602" s="1"/>
      <c r="T602" s="1"/>
      <c r="V602" s="1"/>
      <c r="X602" s="1"/>
    </row>
    <row r="603" spans="5:24" ht="15.75" customHeight="1" x14ac:dyDescent="0.3">
      <c r="E603" s="1"/>
      <c r="H603" s="2"/>
      <c r="J603" s="1"/>
      <c r="L603" s="1"/>
      <c r="N603" s="1"/>
      <c r="P603" s="1"/>
      <c r="R603" s="1"/>
      <c r="T603" s="1"/>
      <c r="V603" s="1"/>
      <c r="X603" s="1"/>
    </row>
    <row r="604" spans="5:24" ht="15.75" customHeight="1" x14ac:dyDescent="0.3">
      <c r="E604" s="1"/>
      <c r="H604" s="2"/>
      <c r="J604" s="1"/>
      <c r="L604" s="1"/>
      <c r="N604" s="1"/>
      <c r="P604" s="1"/>
      <c r="R604" s="1"/>
      <c r="T604" s="1"/>
      <c r="V604" s="1"/>
      <c r="X604" s="1"/>
    </row>
    <row r="605" spans="5:24" ht="15.75" customHeight="1" x14ac:dyDescent="0.3">
      <c r="E605" s="1"/>
      <c r="H605" s="2"/>
      <c r="J605" s="1"/>
      <c r="L605" s="1"/>
      <c r="N605" s="1"/>
      <c r="P605" s="1"/>
      <c r="R605" s="1"/>
      <c r="T605" s="1"/>
      <c r="V605" s="1"/>
      <c r="X605" s="1"/>
    </row>
    <row r="606" spans="5:24" ht="15.75" customHeight="1" x14ac:dyDescent="0.3">
      <c r="E606" s="1"/>
      <c r="H606" s="2"/>
      <c r="J606" s="1"/>
      <c r="L606" s="1"/>
      <c r="N606" s="1"/>
      <c r="P606" s="1"/>
      <c r="R606" s="1"/>
      <c r="T606" s="1"/>
      <c r="V606" s="1"/>
      <c r="X606" s="1"/>
    </row>
    <row r="607" spans="5:24" ht="15.75" customHeight="1" x14ac:dyDescent="0.3">
      <c r="E607" s="1"/>
      <c r="H607" s="2"/>
      <c r="J607" s="1"/>
      <c r="L607" s="1"/>
      <c r="N607" s="1"/>
      <c r="P607" s="1"/>
      <c r="R607" s="1"/>
      <c r="T607" s="1"/>
      <c r="V607" s="1"/>
      <c r="X607" s="1"/>
    </row>
    <row r="608" spans="5:24" ht="15.75" customHeight="1" x14ac:dyDescent="0.3">
      <c r="E608" s="1"/>
      <c r="H608" s="2"/>
      <c r="J608" s="1"/>
      <c r="L608" s="1"/>
      <c r="N608" s="1"/>
      <c r="P608" s="1"/>
      <c r="R608" s="1"/>
      <c r="T608" s="1"/>
      <c r="V608" s="1"/>
      <c r="X608" s="1"/>
    </row>
    <row r="609" spans="5:24" ht="15.75" customHeight="1" x14ac:dyDescent="0.3">
      <c r="E609" s="1"/>
      <c r="H609" s="2"/>
      <c r="J609" s="1"/>
      <c r="L609" s="1"/>
      <c r="N609" s="1"/>
      <c r="P609" s="1"/>
      <c r="R609" s="1"/>
      <c r="T609" s="1"/>
      <c r="V609" s="1"/>
      <c r="X609" s="1"/>
    </row>
    <row r="610" spans="5:24" ht="15.75" customHeight="1" x14ac:dyDescent="0.3">
      <c r="E610" s="1"/>
      <c r="H610" s="2"/>
      <c r="J610" s="1"/>
      <c r="L610" s="1"/>
      <c r="N610" s="1"/>
      <c r="P610" s="1"/>
      <c r="R610" s="1"/>
      <c r="T610" s="1"/>
      <c r="V610" s="1"/>
      <c r="X610" s="1"/>
    </row>
    <row r="611" spans="5:24" ht="15.75" customHeight="1" x14ac:dyDescent="0.3">
      <c r="E611" s="1"/>
      <c r="H611" s="2"/>
      <c r="J611" s="1"/>
      <c r="L611" s="1"/>
      <c r="N611" s="1"/>
      <c r="P611" s="1"/>
      <c r="R611" s="1"/>
      <c r="T611" s="1"/>
      <c r="V611" s="1"/>
      <c r="X611" s="1"/>
    </row>
    <row r="612" spans="5:24" ht="15.75" customHeight="1" x14ac:dyDescent="0.3">
      <c r="E612" s="1"/>
      <c r="H612" s="2"/>
      <c r="J612" s="1"/>
      <c r="L612" s="1"/>
      <c r="N612" s="1"/>
      <c r="P612" s="1"/>
      <c r="R612" s="1"/>
      <c r="T612" s="1"/>
      <c r="V612" s="1"/>
      <c r="X612" s="1"/>
    </row>
    <row r="613" spans="5:24" ht="15.75" customHeight="1" x14ac:dyDescent="0.3">
      <c r="E613" s="1"/>
      <c r="H613" s="2"/>
      <c r="J613" s="1"/>
      <c r="L613" s="1"/>
      <c r="N613" s="1"/>
      <c r="P613" s="1"/>
      <c r="R613" s="1"/>
      <c r="T613" s="1"/>
      <c r="V613" s="1"/>
      <c r="X613" s="1"/>
    </row>
    <row r="614" spans="5:24" ht="15.75" customHeight="1" x14ac:dyDescent="0.3">
      <c r="E614" s="1"/>
      <c r="H614" s="2"/>
      <c r="J614" s="1"/>
      <c r="L614" s="1"/>
      <c r="N614" s="1"/>
      <c r="P614" s="1"/>
      <c r="R614" s="1"/>
      <c r="T614" s="1"/>
      <c r="V614" s="1"/>
      <c r="X614" s="1"/>
    </row>
    <row r="615" spans="5:24" ht="15.75" customHeight="1" x14ac:dyDescent="0.3">
      <c r="E615" s="1"/>
      <c r="H615" s="2"/>
      <c r="J615" s="1"/>
      <c r="L615" s="1"/>
      <c r="N615" s="1"/>
      <c r="P615" s="1"/>
      <c r="R615" s="1"/>
      <c r="T615" s="1"/>
      <c r="V615" s="1"/>
      <c r="X615" s="1"/>
    </row>
    <row r="616" spans="5:24" ht="15.75" customHeight="1" x14ac:dyDescent="0.3">
      <c r="E616" s="1"/>
      <c r="H616" s="2"/>
      <c r="J616" s="1"/>
      <c r="L616" s="1"/>
      <c r="N616" s="1"/>
      <c r="P616" s="1"/>
      <c r="R616" s="1"/>
      <c r="T616" s="1"/>
      <c r="V616" s="1"/>
      <c r="X616" s="1"/>
    </row>
    <row r="617" spans="5:24" ht="15.75" customHeight="1" x14ac:dyDescent="0.3">
      <c r="E617" s="1"/>
      <c r="H617" s="2"/>
      <c r="J617" s="1"/>
      <c r="L617" s="1"/>
      <c r="N617" s="1"/>
      <c r="P617" s="1"/>
      <c r="R617" s="1"/>
      <c r="T617" s="1"/>
      <c r="V617" s="1"/>
      <c r="X617" s="1"/>
    </row>
    <row r="618" spans="5:24" ht="15.75" customHeight="1" x14ac:dyDescent="0.3">
      <c r="E618" s="1"/>
      <c r="H618" s="2"/>
      <c r="J618" s="1"/>
      <c r="L618" s="1"/>
      <c r="N618" s="1"/>
      <c r="P618" s="1"/>
      <c r="R618" s="1"/>
      <c r="T618" s="1"/>
      <c r="V618" s="1"/>
      <c r="X618" s="1"/>
    </row>
    <row r="619" spans="5:24" ht="15.75" customHeight="1" x14ac:dyDescent="0.3">
      <c r="E619" s="1"/>
      <c r="H619" s="2"/>
      <c r="J619" s="1"/>
      <c r="L619" s="1"/>
      <c r="N619" s="1"/>
      <c r="P619" s="1"/>
      <c r="R619" s="1"/>
      <c r="T619" s="1"/>
      <c r="V619" s="1"/>
      <c r="X619" s="1"/>
    </row>
    <row r="620" spans="5:24" ht="15.75" customHeight="1" x14ac:dyDescent="0.3">
      <c r="E620" s="1"/>
      <c r="H620" s="2"/>
      <c r="J620" s="1"/>
      <c r="L620" s="1"/>
      <c r="N620" s="1"/>
      <c r="P620" s="1"/>
      <c r="R620" s="1"/>
      <c r="T620" s="1"/>
      <c r="V620" s="1"/>
      <c r="X620" s="1"/>
    </row>
    <row r="621" spans="5:24" ht="15.75" customHeight="1" x14ac:dyDescent="0.3">
      <c r="E621" s="1"/>
      <c r="H621" s="2"/>
      <c r="J621" s="1"/>
      <c r="L621" s="1"/>
      <c r="N621" s="1"/>
      <c r="P621" s="1"/>
      <c r="R621" s="1"/>
      <c r="T621" s="1"/>
      <c r="V621" s="1"/>
      <c r="X621" s="1"/>
    </row>
    <row r="622" spans="5:24" ht="15.75" customHeight="1" x14ac:dyDescent="0.3">
      <c r="E622" s="1"/>
      <c r="H622" s="2"/>
      <c r="J622" s="1"/>
      <c r="L622" s="1"/>
      <c r="N622" s="1"/>
      <c r="P622" s="1"/>
      <c r="R622" s="1"/>
      <c r="T622" s="1"/>
      <c r="V622" s="1"/>
      <c r="X622" s="1"/>
    </row>
    <row r="623" spans="5:24" ht="15.75" customHeight="1" x14ac:dyDescent="0.3">
      <c r="E623" s="1"/>
      <c r="H623" s="2"/>
      <c r="J623" s="1"/>
      <c r="L623" s="1"/>
      <c r="N623" s="1"/>
      <c r="P623" s="1"/>
      <c r="R623" s="1"/>
      <c r="T623" s="1"/>
      <c r="V623" s="1"/>
      <c r="X623" s="1"/>
    </row>
    <row r="624" spans="5:24" ht="15.75" customHeight="1" x14ac:dyDescent="0.3">
      <c r="E624" s="1"/>
      <c r="H624" s="2"/>
      <c r="J624" s="1"/>
      <c r="L624" s="1"/>
      <c r="N624" s="1"/>
      <c r="P624" s="1"/>
      <c r="R624" s="1"/>
      <c r="T624" s="1"/>
      <c r="V624" s="1"/>
      <c r="X624" s="1"/>
    </row>
    <row r="625" spans="5:24" ht="15.75" customHeight="1" x14ac:dyDescent="0.3">
      <c r="E625" s="1"/>
      <c r="H625" s="2"/>
      <c r="J625" s="1"/>
      <c r="L625" s="1"/>
      <c r="N625" s="1"/>
      <c r="P625" s="1"/>
      <c r="R625" s="1"/>
      <c r="T625" s="1"/>
      <c r="V625" s="1"/>
      <c r="X625" s="1"/>
    </row>
    <row r="626" spans="5:24" ht="15.75" customHeight="1" x14ac:dyDescent="0.3">
      <c r="E626" s="1"/>
      <c r="H626" s="2"/>
      <c r="J626" s="1"/>
      <c r="L626" s="1"/>
      <c r="N626" s="1"/>
      <c r="P626" s="1"/>
      <c r="R626" s="1"/>
      <c r="T626" s="1"/>
      <c r="V626" s="1"/>
      <c r="X626" s="1"/>
    </row>
    <row r="627" spans="5:24" ht="15.75" customHeight="1" x14ac:dyDescent="0.3">
      <c r="E627" s="1"/>
      <c r="H627" s="2"/>
      <c r="J627" s="1"/>
      <c r="L627" s="1"/>
      <c r="N627" s="1"/>
      <c r="P627" s="1"/>
      <c r="R627" s="1"/>
      <c r="T627" s="1"/>
      <c r="V627" s="1"/>
      <c r="X627" s="1"/>
    </row>
    <row r="628" spans="5:24" ht="15.75" customHeight="1" x14ac:dyDescent="0.3">
      <c r="E628" s="1"/>
      <c r="H628" s="2"/>
      <c r="J628" s="1"/>
      <c r="L628" s="1"/>
      <c r="N628" s="1"/>
      <c r="P628" s="1"/>
      <c r="R628" s="1"/>
      <c r="T628" s="1"/>
      <c r="V628" s="1"/>
      <c r="X628" s="1"/>
    </row>
    <row r="629" spans="5:24" ht="15.75" customHeight="1" x14ac:dyDescent="0.3">
      <c r="E629" s="1"/>
      <c r="H629" s="2"/>
      <c r="J629" s="1"/>
      <c r="L629" s="1"/>
      <c r="N629" s="1"/>
      <c r="P629" s="1"/>
      <c r="R629" s="1"/>
      <c r="T629" s="1"/>
      <c r="V629" s="1"/>
      <c r="X629" s="1"/>
    </row>
    <row r="630" spans="5:24" ht="15.75" customHeight="1" x14ac:dyDescent="0.3">
      <c r="E630" s="1"/>
      <c r="H630" s="2"/>
      <c r="J630" s="1"/>
      <c r="L630" s="1"/>
      <c r="N630" s="1"/>
      <c r="P630" s="1"/>
      <c r="R630" s="1"/>
      <c r="T630" s="1"/>
      <c r="V630" s="1"/>
      <c r="X630" s="1"/>
    </row>
    <row r="631" spans="5:24" ht="15.75" customHeight="1" x14ac:dyDescent="0.3">
      <c r="E631" s="1"/>
      <c r="H631" s="2"/>
      <c r="J631" s="1"/>
      <c r="L631" s="1"/>
      <c r="N631" s="1"/>
      <c r="P631" s="1"/>
      <c r="R631" s="1"/>
      <c r="T631" s="1"/>
      <c r="V631" s="1"/>
      <c r="X631" s="1"/>
    </row>
    <row r="632" spans="5:24" ht="15.75" customHeight="1" x14ac:dyDescent="0.3">
      <c r="E632" s="1"/>
      <c r="H632" s="2"/>
      <c r="J632" s="1"/>
      <c r="L632" s="1"/>
      <c r="N632" s="1"/>
      <c r="P632" s="1"/>
      <c r="R632" s="1"/>
      <c r="T632" s="1"/>
      <c r="V632" s="1"/>
      <c r="X632" s="1"/>
    </row>
    <row r="633" spans="5:24" ht="15.75" customHeight="1" x14ac:dyDescent="0.3">
      <c r="E633" s="1"/>
      <c r="H633" s="2"/>
      <c r="J633" s="1"/>
      <c r="L633" s="1"/>
      <c r="N633" s="1"/>
      <c r="P633" s="1"/>
      <c r="R633" s="1"/>
      <c r="T633" s="1"/>
      <c r="V633" s="1"/>
      <c r="X633" s="1"/>
    </row>
    <row r="634" spans="5:24" ht="15.75" customHeight="1" x14ac:dyDescent="0.3">
      <c r="E634" s="1"/>
      <c r="H634" s="2"/>
      <c r="J634" s="1"/>
      <c r="L634" s="1"/>
      <c r="N634" s="1"/>
      <c r="P634" s="1"/>
      <c r="R634" s="1"/>
      <c r="T634" s="1"/>
      <c r="V634" s="1"/>
      <c r="X634" s="1"/>
    </row>
    <row r="635" spans="5:24" ht="15.75" customHeight="1" x14ac:dyDescent="0.3">
      <c r="E635" s="1"/>
      <c r="H635" s="2"/>
      <c r="J635" s="1"/>
      <c r="L635" s="1"/>
      <c r="N635" s="1"/>
      <c r="P635" s="1"/>
      <c r="R635" s="1"/>
      <c r="T635" s="1"/>
      <c r="V635" s="1"/>
      <c r="X635" s="1"/>
    </row>
    <row r="636" spans="5:24" ht="15.75" customHeight="1" x14ac:dyDescent="0.3">
      <c r="E636" s="1"/>
      <c r="H636" s="2"/>
      <c r="J636" s="1"/>
      <c r="L636" s="1"/>
      <c r="N636" s="1"/>
      <c r="P636" s="1"/>
      <c r="R636" s="1"/>
      <c r="T636" s="1"/>
      <c r="V636" s="1"/>
      <c r="X636" s="1"/>
    </row>
    <row r="637" spans="5:24" ht="15.75" customHeight="1" x14ac:dyDescent="0.3">
      <c r="E637" s="1"/>
      <c r="H637" s="2"/>
      <c r="J637" s="1"/>
      <c r="L637" s="1"/>
      <c r="N637" s="1"/>
      <c r="P637" s="1"/>
      <c r="R637" s="1"/>
      <c r="T637" s="1"/>
      <c r="V637" s="1"/>
      <c r="X637" s="1"/>
    </row>
    <row r="638" spans="5:24" ht="15.75" customHeight="1" x14ac:dyDescent="0.3">
      <c r="E638" s="1"/>
      <c r="H638" s="2"/>
      <c r="J638" s="1"/>
      <c r="L638" s="1"/>
      <c r="N638" s="1"/>
      <c r="P638" s="1"/>
      <c r="R638" s="1"/>
      <c r="T638" s="1"/>
      <c r="V638" s="1"/>
      <c r="X638" s="1"/>
    </row>
    <row r="639" spans="5:24" ht="15.75" customHeight="1" x14ac:dyDescent="0.3">
      <c r="E639" s="1"/>
      <c r="H639" s="2"/>
      <c r="J639" s="1"/>
      <c r="L639" s="1"/>
      <c r="N639" s="1"/>
      <c r="P639" s="1"/>
      <c r="R639" s="1"/>
      <c r="T639" s="1"/>
      <c r="V639" s="1"/>
      <c r="X639" s="1"/>
    </row>
    <row r="640" spans="5:24" ht="15.75" customHeight="1" x14ac:dyDescent="0.3">
      <c r="E640" s="1"/>
      <c r="H640" s="2"/>
      <c r="J640" s="1"/>
      <c r="L640" s="1"/>
      <c r="N640" s="1"/>
      <c r="P640" s="1"/>
      <c r="R640" s="1"/>
      <c r="T640" s="1"/>
      <c r="V640" s="1"/>
      <c r="X640" s="1"/>
    </row>
    <row r="641" spans="5:24" ht="15.75" customHeight="1" x14ac:dyDescent="0.3">
      <c r="E641" s="1"/>
      <c r="H641" s="2"/>
      <c r="J641" s="1"/>
      <c r="L641" s="1"/>
      <c r="N641" s="1"/>
      <c r="P641" s="1"/>
      <c r="R641" s="1"/>
      <c r="T641" s="1"/>
      <c r="V641" s="1"/>
      <c r="X641" s="1"/>
    </row>
    <row r="642" spans="5:24" ht="15.75" customHeight="1" x14ac:dyDescent="0.3">
      <c r="E642" s="1"/>
      <c r="H642" s="2"/>
      <c r="J642" s="1"/>
      <c r="L642" s="1"/>
      <c r="N642" s="1"/>
      <c r="P642" s="1"/>
      <c r="R642" s="1"/>
      <c r="T642" s="1"/>
      <c r="V642" s="1"/>
      <c r="X642" s="1"/>
    </row>
    <row r="643" spans="5:24" ht="15.75" customHeight="1" x14ac:dyDescent="0.3">
      <c r="E643" s="1"/>
      <c r="H643" s="2"/>
      <c r="J643" s="1"/>
      <c r="L643" s="1"/>
      <c r="N643" s="1"/>
      <c r="P643" s="1"/>
      <c r="R643" s="1"/>
      <c r="T643" s="1"/>
      <c r="V643" s="1"/>
      <c r="X643" s="1"/>
    </row>
    <row r="644" spans="5:24" ht="15.75" customHeight="1" x14ac:dyDescent="0.3">
      <c r="E644" s="1"/>
      <c r="H644" s="2"/>
      <c r="J644" s="1"/>
      <c r="L644" s="1"/>
      <c r="N644" s="1"/>
      <c r="P644" s="1"/>
      <c r="R644" s="1"/>
      <c r="T644" s="1"/>
      <c r="V644" s="1"/>
      <c r="X644" s="1"/>
    </row>
    <row r="645" spans="5:24" ht="15.75" customHeight="1" x14ac:dyDescent="0.3">
      <c r="E645" s="1"/>
      <c r="H645" s="2"/>
      <c r="J645" s="1"/>
      <c r="L645" s="1"/>
      <c r="N645" s="1"/>
      <c r="P645" s="1"/>
      <c r="R645" s="1"/>
      <c r="T645" s="1"/>
      <c r="V645" s="1"/>
      <c r="X645" s="1"/>
    </row>
    <row r="646" spans="5:24" ht="15.75" customHeight="1" x14ac:dyDescent="0.3">
      <c r="E646" s="1"/>
      <c r="H646" s="2"/>
      <c r="J646" s="1"/>
      <c r="L646" s="1"/>
      <c r="N646" s="1"/>
      <c r="P646" s="1"/>
      <c r="R646" s="1"/>
      <c r="T646" s="1"/>
      <c r="V646" s="1"/>
      <c r="X646" s="1"/>
    </row>
    <row r="647" spans="5:24" ht="15.75" customHeight="1" x14ac:dyDescent="0.3">
      <c r="E647" s="1"/>
      <c r="H647" s="2"/>
      <c r="J647" s="1"/>
      <c r="L647" s="1"/>
      <c r="N647" s="1"/>
      <c r="P647" s="1"/>
      <c r="R647" s="1"/>
      <c r="T647" s="1"/>
      <c r="V647" s="1"/>
      <c r="X647" s="1"/>
    </row>
    <row r="648" spans="5:24" ht="15.75" customHeight="1" x14ac:dyDescent="0.3">
      <c r="E648" s="1"/>
      <c r="H648" s="2"/>
      <c r="J648" s="1"/>
      <c r="L648" s="1"/>
      <c r="N648" s="1"/>
      <c r="P648" s="1"/>
      <c r="R648" s="1"/>
      <c r="T648" s="1"/>
      <c r="V648" s="1"/>
      <c r="X648" s="1"/>
    </row>
    <row r="649" spans="5:24" ht="15.75" customHeight="1" x14ac:dyDescent="0.3">
      <c r="E649" s="1"/>
      <c r="H649" s="2"/>
      <c r="J649" s="1"/>
      <c r="L649" s="1"/>
      <c r="N649" s="1"/>
      <c r="P649" s="1"/>
      <c r="R649" s="1"/>
      <c r="T649" s="1"/>
      <c r="V649" s="1"/>
      <c r="X649" s="1"/>
    </row>
    <row r="650" spans="5:24" ht="15.75" customHeight="1" x14ac:dyDescent="0.3">
      <c r="E650" s="1"/>
      <c r="H650" s="2"/>
      <c r="J650" s="1"/>
      <c r="L650" s="1"/>
      <c r="N650" s="1"/>
      <c r="P650" s="1"/>
      <c r="R650" s="1"/>
      <c r="T650" s="1"/>
      <c r="V650" s="1"/>
      <c r="X650" s="1"/>
    </row>
    <row r="651" spans="5:24" ht="15.75" customHeight="1" x14ac:dyDescent="0.3">
      <c r="E651" s="1"/>
      <c r="H651" s="2"/>
      <c r="J651" s="1"/>
      <c r="L651" s="1"/>
      <c r="N651" s="1"/>
      <c r="P651" s="1"/>
      <c r="R651" s="1"/>
      <c r="T651" s="1"/>
      <c r="V651" s="1"/>
      <c r="X651" s="1"/>
    </row>
    <row r="652" spans="5:24" ht="15.75" customHeight="1" x14ac:dyDescent="0.3">
      <c r="E652" s="1"/>
      <c r="H652" s="2"/>
      <c r="J652" s="1"/>
      <c r="L652" s="1"/>
      <c r="N652" s="1"/>
      <c r="P652" s="1"/>
      <c r="R652" s="1"/>
      <c r="T652" s="1"/>
      <c r="V652" s="1"/>
      <c r="X652" s="1"/>
    </row>
    <row r="653" spans="5:24" ht="15.75" customHeight="1" x14ac:dyDescent="0.3">
      <c r="E653" s="1"/>
      <c r="H653" s="2"/>
      <c r="J653" s="1"/>
      <c r="L653" s="1"/>
      <c r="N653" s="1"/>
      <c r="P653" s="1"/>
      <c r="R653" s="1"/>
      <c r="T653" s="1"/>
      <c r="V653" s="1"/>
      <c r="X653" s="1"/>
    </row>
    <row r="654" spans="5:24" ht="15.75" customHeight="1" x14ac:dyDescent="0.3">
      <c r="E654" s="1"/>
      <c r="H654" s="2"/>
      <c r="J654" s="1"/>
      <c r="L654" s="1"/>
      <c r="N654" s="1"/>
      <c r="P654" s="1"/>
      <c r="R654" s="1"/>
      <c r="T654" s="1"/>
      <c r="V654" s="1"/>
      <c r="X654" s="1"/>
    </row>
    <row r="655" spans="5:24" ht="15.75" customHeight="1" x14ac:dyDescent="0.3">
      <c r="E655" s="1"/>
      <c r="H655" s="2"/>
      <c r="J655" s="1"/>
      <c r="L655" s="1"/>
      <c r="N655" s="1"/>
      <c r="P655" s="1"/>
      <c r="R655" s="1"/>
      <c r="T655" s="1"/>
      <c r="V655" s="1"/>
      <c r="X655" s="1"/>
    </row>
    <row r="656" spans="5:24" ht="15.75" customHeight="1" x14ac:dyDescent="0.3">
      <c r="E656" s="1"/>
      <c r="H656" s="2"/>
      <c r="J656" s="1"/>
      <c r="L656" s="1"/>
      <c r="N656" s="1"/>
      <c r="P656" s="1"/>
      <c r="R656" s="1"/>
      <c r="T656" s="1"/>
      <c r="V656" s="1"/>
      <c r="X656" s="1"/>
    </row>
    <row r="657" spans="5:24" ht="15.75" customHeight="1" x14ac:dyDescent="0.3">
      <c r="E657" s="1"/>
      <c r="H657" s="2"/>
      <c r="J657" s="1"/>
      <c r="L657" s="1"/>
      <c r="N657" s="1"/>
      <c r="P657" s="1"/>
      <c r="R657" s="1"/>
      <c r="T657" s="1"/>
      <c r="V657" s="1"/>
      <c r="X657" s="1"/>
    </row>
    <row r="658" spans="5:24" ht="15.75" customHeight="1" x14ac:dyDescent="0.3">
      <c r="E658" s="1"/>
      <c r="H658" s="2"/>
      <c r="J658" s="1"/>
      <c r="L658" s="1"/>
      <c r="N658" s="1"/>
      <c r="P658" s="1"/>
      <c r="R658" s="1"/>
      <c r="T658" s="1"/>
      <c r="V658" s="1"/>
      <c r="X658" s="1"/>
    </row>
    <row r="659" spans="5:24" ht="15.75" customHeight="1" x14ac:dyDescent="0.3">
      <c r="E659" s="1"/>
      <c r="H659" s="2"/>
      <c r="J659" s="1"/>
      <c r="L659" s="1"/>
      <c r="N659" s="1"/>
      <c r="P659" s="1"/>
      <c r="R659" s="1"/>
      <c r="T659" s="1"/>
      <c r="V659" s="1"/>
      <c r="X659" s="1"/>
    </row>
    <row r="660" spans="5:24" ht="15.75" customHeight="1" x14ac:dyDescent="0.3">
      <c r="E660" s="1"/>
      <c r="H660" s="2"/>
      <c r="J660" s="1"/>
      <c r="L660" s="1"/>
      <c r="N660" s="1"/>
      <c r="P660" s="1"/>
      <c r="R660" s="1"/>
      <c r="T660" s="1"/>
      <c r="V660" s="1"/>
      <c r="X660" s="1"/>
    </row>
    <row r="661" spans="5:24" ht="15.75" customHeight="1" x14ac:dyDescent="0.3">
      <c r="E661" s="1"/>
      <c r="H661" s="2"/>
      <c r="J661" s="1"/>
      <c r="L661" s="1"/>
      <c r="N661" s="1"/>
      <c r="P661" s="1"/>
      <c r="R661" s="1"/>
      <c r="T661" s="1"/>
      <c r="V661" s="1"/>
      <c r="X661" s="1"/>
    </row>
    <row r="662" spans="5:24" ht="15.75" customHeight="1" x14ac:dyDescent="0.3">
      <c r="E662" s="1"/>
      <c r="H662" s="2"/>
      <c r="J662" s="1"/>
      <c r="L662" s="1"/>
      <c r="N662" s="1"/>
      <c r="P662" s="1"/>
      <c r="R662" s="1"/>
      <c r="T662" s="1"/>
      <c r="V662" s="1"/>
      <c r="X662" s="1"/>
    </row>
    <row r="663" spans="5:24" ht="15.75" customHeight="1" x14ac:dyDescent="0.3">
      <c r="E663" s="1"/>
      <c r="H663" s="2"/>
      <c r="J663" s="1"/>
      <c r="L663" s="1"/>
      <c r="N663" s="1"/>
      <c r="P663" s="1"/>
      <c r="R663" s="1"/>
      <c r="T663" s="1"/>
      <c r="V663" s="1"/>
      <c r="X663" s="1"/>
    </row>
    <row r="664" spans="5:24" ht="15.75" customHeight="1" x14ac:dyDescent="0.3">
      <c r="E664" s="1"/>
      <c r="H664" s="2"/>
      <c r="J664" s="1"/>
      <c r="L664" s="1"/>
      <c r="N664" s="1"/>
      <c r="P664" s="1"/>
      <c r="R664" s="1"/>
      <c r="T664" s="1"/>
      <c r="V664" s="1"/>
      <c r="X664" s="1"/>
    </row>
    <row r="665" spans="5:24" ht="15.75" customHeight="1" x14ac:dyDescent="0.3">
      <c r="E665" s="1"/>
      <c r="H665" s="2"/>
      <c r="J665" s="1"/>
      <c r="L665" s="1"/>
      <c r="N665" s="1"/>
      <c r="P665" s="1"/>
      <c r="R665" s="1"/>
      <c r="T665" s="1"/>
      <c r="V665" s="1"/>
      <c r="X665" s="1"/>
    </row>
    <row r="666" spans="5:24" ht="15.75" customHeight="1" x14ac:dyDescent="0.3">
      <c r="E666" s="1"/>
      <c r="H666" s="2"/>
      <c r="J666" s="1"/>
      <c r="L666" s="1"/>
      <c r="N666" s="1"/>
      <c r="P666" s="1"/>
      <c r="R666" s="1"/>
      <c r="T666" s="1"/>
      <c r="V666" s="1"/>
      <c r="X666" s="1"/>
    </row>
    <row r="667" spans="5:24" ht="15.75" customHeight="1" x14ac:dyDescent="0.3">
      <c r="E667" s="1"/>
      <c r="H667" s="2"/>
      <c r="J667" s="1"/>
      <c r="L667" s="1"/>
      <c r="N667" s="1"/>
      <c r="P667" s="1"/>
      <c r="R667" s="1"/>
      <c r="T667" s="1"/>
      <c r="V667" s="1"/>
      <c r="X667" s="1"/>
    </row>
    <row r="668" spans="5:24" ht="15.75" customHeight="1" x14ac:dyDescent="0.3">
      <c r="E668" s="1"/>
      <c r="H668" s="2"/>
      <c r="J668" s="1"/>
      <c r="L668" s="1"/>
      <c r="N668" s="1"/>
      <c r="P668" s="1"/>
      <c r="R668" s="1"/>
      <c r="T668" s="1"/>
      <c r="V668" s="1"/>
      <c r="X668" s="1"/>
    </row>
    <row r="669" spans="5:24" ht="15.75" customHeight="1" x14ac:dyDescent="0.3">
      <c r="E669" s="1"/>
      <c r="H669" s="2"/>
      <c r="J669" s="1"/>
      <c r="L669" s="1"/>
      <c r="N669" s="1"/>
      <c r="P669" s="1"/>
      <c r="R669" s="1"/>
      <c r="T669" s="1"/>
      <c r="V669" s="1"/>
      <c r="X669" s="1"/>
    </row>
    <row r="670" spans="5:24" ht="15.75" customHeight="1" x14ac:dyDescent="0.3">
      <c r="E670" s="1"/>
      <c r="H670" s="2"/>
      <c r="J670" s="1"/>
      <c r="L670" s="1"/>
      <c r="N670" s="1"/>
      <c r="P670" s="1"/>
      <c r="R670" s="1"/>
      <c r="T670" s="1"/>
      <c r="V670" s="1"/>
      <c r="X670" s="1"/>
    </row>
    <row r="671" spans="5:24" ht="15.75" customHeight="1" x14ac:dyDescent="0.3">
      <c r="E671" s="1"/>
      <c r="H671" s="2"/>
      <c r="J671" s="1"/>
      <c r="L671" s="1"/>
      <c r="N671" s="1"/>
      <c r="P671" s="1"/>
      <c r="R671" s="1"/>
      <c r="T671" s="1"/>
      <c r="V671" s="1"/>
      <c r="X671" s="1"/>
    </row>
    <row r="672" spans="5:24" ht="15.75" customHeight="1" x14ac:dyDescent="0.3">
      <c r="E672" s="1"/>
      <c r="H672" s="2"/>
      <c r="J672" s="1"/>
      <c r="L672" s="1"/>
      <c r="N672" s="1"/>
      <c r="P672" s="1"/>
      <c r="R672" s="1"/>
      <c r="T672" s="1"/>
      <c r="V672" s="1"/>
      <c r="X672" s="1"/>
    </row>
    <row r="673" spans="5:24" ht="15.75" customHeight="1" x14ac:dyDescent="0.3">
      <c r="E673" s="1"/>
      <c r="H673" s="2"/>
      <c r="J673" s="1"/>
      <c r="L673" s="1"/>
      <c r="N673" s="1"/>
      <c r="P673" s="1"/>
      <c r="R673" s="1"/>
      <c r="T673" s="1"/>
      <c r="V673" s="1"/>
      <c r="X673" s="1"/>
    </row>
    <row r="674" spans="5:24" ht="15.75" customHeight="1" x14ac:dyDescent="0.3">
      <c r="E674" s="1"/>
      <c r="H674" s="2"/>
      <c r="J674" s="1"/>
      <c r="L674" s="1"/>
      <c r="N674" s="1"/>
      <c r="P674" s="1"/>
      <c r="R674" s="1"/>
      <c r="T674" s="1"/>
      <c r="V674" s="1"/>
      <c r="X674" s="1"/>
    </row>
    <row r="675" spans="5:24" ht="15.75" customHeight="1" x14ac:dyDescent="0.3">
      <c r="E675" s="1"/>
      <c r="H675" s="2"/>
      <c r="J675" s="1"/>
      <c r="L675" s="1"/>
      <c r="N675" s="1"/>
      <c r="P675" s="1"/>
      <c r="R675" s="1"/>
      <c r="T675" s="1"/>
      <c r="V675" s="1"/>
      <c r="X675" s="1"/>
    </row>
    <row r="676" spans="5:24" ht="15.75" customHeight="1" x14ac:dyDescent="0.3">
      <c r="E676" s="1"/>
      <c r="H676" s="2"/>
      <c r="J676" s="1"/>
      <c r="L676" s="1"/>
      <c r="N676" s="1"/>
      <c r="P676" s="1"/>
      <c r="R676" s="1"/>
      <c r="T676" s="1"/>
      <c r="V676" s="1"/>
      <c r="X676" s="1"/>
    </row>
    <row r="677" spans="5:24" ht="15.75" customHeight="1" x14ac:dyDescent="0.3">
      <c r="E677" s="1"/>
      <c r="H677" s="2"/>
      <c r="J677" s="1"/>
      <c r="L677" s="1"/>
      <c r="N677" s="1"/>
      <c r="P677" s="1"/>
      <c r="R677" s="1"/>
      <c r="T677" s="1"/>
      <c r="V677" s="1"/>
      <c r="X677" s="1"/>
    </row>
    <row r="678" spans="5:24" ht="15.75" customHeight="1" x14ac:dyDescent="0.3">
      <c r="E678" s="1"/>
      <c r="H678" s="2"/>
      <c r="J678" s="1"/>
      <c r="L678" s="1"/>
      <c r="N678" s="1"/>
      <c r="P678" s="1"/>
      <c r="R678" s="1"/>
      <c r="T678" s="1"/>
      <c r="V678" s="1"/>
      <c r="X678" s="1"/>
    </row>
    <row r="679" spans="5:24" ht="15.75" customHeight="1" x14ac:dyDescent="0.3">
      <c r="E679" s="1"/>
      <c r="H679" s="2"/>
      <c r="J679" s="1"/>
      <c r="L679" s="1"/>
      <c r="N679" s="1"/>
      <c r="P679" s="1"/>
      <c r="R679" s="1"/>
      <c r="T679" s="1"/>
      <c r="V679" s="1"/>
      <c r="X679" s="1"/>
    </row>
    <row r="680" spans="5:24" ht="15.75" customHeight="1" x14ac:dyDescent="0.3">
      <c r="E680" s="1"/>
      <c r="H680" s="2"/>
      <c r="J680" s="1"/>
      <c r="L680" s="1"/>
      <c r="N680" s="1"/>
      <c r="P680" s="1"/>
      <c r="R680" s="1"/>
      <c r="T680" s="1"/>
      <c r="V680" s="1"/>
      <c r="X680" s="1"/>
    </row>
    <row r="681" spans="5:24" ht="15.75" customHeight="1" x14ac:dyDescent="0.3">
      <c r="E681" s="1"/>
      <c r="H681" s="2"/>
      <c r="J681" s="1"/>
      <c r="L681" s="1"/>
      <c r="N681" s="1"/>
      <c r="P681" s="1"/>
      <c r="R681" s="1"/>
      <c r="T681" s="1"/>
      <c r="V681" s="1"/>
      <c r="X681" s="1"/>
    </row>
    <row r="682" spans="5:24" ht="15.75" customHeight="1" x14ac:dyDescent="0.3">
      <c r="E682" s="1"/>
      <c r="H682" s="2"/>
      <c r="J682" s="1"/>
      <c r="L682" s="1"/>
      <c r="N682" s="1"/>
      <c r="P682" s="1"/>
      <c r="R682" s="1"/>
      <c r="T682" s="1"/>
      <c r="V682" s="1"/>
      <c r="X682" s="1"/>
    </row>
    <row r="683" spans="5:24" ht="15.75" customHeight="1" x14ac:dyDescent="0.3">
      <c r="E683" s="1"/>
      <c r="H683" s="2"/>
      <c r="J683" s="1"/>
      <c r="L683" s="1"/>
      <c r="N683" s="1"/>
      <c r="P683" s="1"/>
      <c r="R683" s="1"/>
      <c r="T683" s="1"/>
      <c r="V683" s="1"/>
      <c r="X683" s="1"/>
    </row>
    <row r="684" spans="5:24" ht="15.75" customHeight="1" x14ac:dyDescent="0.3">
      <c r="E684" s="1"/>
      <c r="H684" s="2"/>
      <c r="J684" s="1"/>
      <c r="L684" s="1"/>
      <c r="N684" s="1"/>
      <c r="P684" s="1"/>
      <c r="R684" s="1"/>
      <c r="T684" s="1"/>
      <c r="V684" s="1"/>
      <c r="X684" s="1"/>
    </row>
    <row r="685" spans="5:24" ht="15.75" customHeight="1" x14ac:dyDescent="0.3">
      <c r="E685" s="1"/>
      <c r="H685" s="2"/>
      <c r="J685" s="1"/>
      <c r="L685" s="1"/>
      <c r="N685" s="1"/>
      <c r="P685" s="1"/>
      <c r="R685" s="1"/>
      <c r="T685" s="1"/>
      <c r="V685" s="1"/>
      <c r="X685" s="1"/>
    </row>
    <row r="686" spans="5:24" ht="15.75" customHeight="1" x14ac:dyDescent="0.3">
      <c r="E686" s="1"/>
      <c r="H686" s="2"/>
      <c r="J686" s="1"/>
      <c r="L686" s="1"/>
      <c r="N686" s="1"/>
      <c r="P686" s="1"/>
      <c r="R686" s="1"/>
      <c r="T686" s="1"/>
      <c r="V686" s="1"/>
      <c r="X686" s="1"/>
    </row>
    <row r="687" spans="5:24" ht="15.75" customHeight="1" x14ac:dyDescent="0.3">
      <c r="E687" s="1"/>
      <c r="H687" s="2"/>
      <c r="J687" s="1"/>
      <c r="L687" s="1"/>
      <c r="N687" s="1"/>
      <c r="P687" s="1"/>
      <c r="R687" s="1"/>
      <c r="T687" s="1"/>
      <c r="V687" s="1"/>
      <c r="X687" s="1"/>
    </row>
    <row r="688" spans="5:24" ht="15.75" customHeight="1" x14ac:dyDescent="0.3">
      <c r="E688" s="1"/>
      <c r="H688" s="2"/>
      <c r="J688" s="1"/>
      <c r="L688" s="1"/>
      <c r="N688" s="1"/>
      <c r="P688" s="1"/>
      <c r="R688" s="1"/>
      <c r="T688" s="1"/>
      <c r="V688" s="1"/>
      <c r="X688" s="1"/>
    </row>
    <row r="689" spans="5:24" ht="15.75" customHeight="1" x14ac:dyDescent="0.3">
      <c r="E689" s="1"/>
      <c r="H689" s="2"/>
      <c r="J689" s="1"/>
      <c r="L689" s="1"/>
      <c r="N689" s="1"/>
      <c r="P689" s="1"/>
      <c r="R689" s="1"/>
      <c r="T689" s="1"/>
      <c r="V689" s="1"/>
      <c r="X689" s="1"/>
    </row>
    <row r="690" spans="5:24" ht="15.75" customHeight="1" x14ac:dyDescent="0.3">
      <c r="E690" s="1"/>
      <c r="H690" s="2"/>
      <c r="J690" s="1"/>
      <c r="L690" s="1"/>
      <c r="N690" s="1"/>
      <c r="P690" s="1"/>
      <c r="R690" s="1"/>
      <c r="T690" s="1"/>
      <c r="V690" s="1"/>
      <c r="X690" s="1"/>
    </row>
    <row r="691" spans="5:24" ht="15.75" customHeight="1" x14ac:dyDescent="0.3">
      <c r="E691" s="1"/>
      <c r="H691" s="2"/>
      <c r="J691" s="1"/>
      <c r="L691" s="1"/>
      <c r="N691" s="1"/>
      <c r="P691" s="1"/>
      <c r="R691" s="1"/>
      <c r="T691" s="1"/>
      <c r="V691" s="1"/>
      <c r="X691" s="1"/>
    </row>
    <row r="692" spans="5:24" ht="15.75" customHeight="1" x14ac:dyDescent="0.3">
      <c r="E692" s="1"/>
      <c r="H692" s="2"/>
      <c r="J692" s="1"/>
      <c r="L692" s="1"/>
      <c r="N692" s="1"/>
      <c r="P692" s="1"/>
      <c r="R692" s="1"/>
      <c r="T692" s="1"/>
      <c r="V692" s="1"/>
      <c r="X692" s="1"/>
    </row>
    <row r="693" spans="5:24" ht="15.75" customHeight="1" x14ac:dyDescent="0.3">
      <c r="E693" s="1"/>
      <c r="H693" s="2"/>
      <c r="J693" s="1"/>
      <c r="L693" s="1"/>
      <c r="N693" s="1"/>
      <c r="P693" s="1"/>
      <c r="R693" s="1"/>
      <c r="T693" s="1"/>
      <c r="V693" s="1"/>
      <c r="X693" s="1"/>
    </row>
    <row r="694" spans="5:24" ht="15.75" customHeight="1" x14ac:dyDescent="0.3">
      <c r="E694" s="1"/>
      <c r="H694" s="2"/>
      <c r="J694" s="1"/>
      <c r="L694" s="1"/>
      <c r="N694" s="1"/>
      <c r="P694" s="1"/>
      <c r="R694" s="1"/>
      <c r="T694" s="1"/>
      <c r="V694" s="1"/>
      <c r="X694" s="1"/>
    </row>
    <row r="695" spans="5:24" ht="15.75" customHeight="1" x14ac:dyDescent="0.3">
      <c r="E695" s="1"/>
      <c r="H695" s="2"/>
      <c r="J695" s="1"/>
      <c r="L695" s="1"/>
      <c r="N695" s="1"/>
      <c r="P695" s="1"/>
      <c r="R695" s="1"/>
      <c r="T695" s="1"/>
      <c r="V695" s="1"/>
      <c r="X695" s="1"/>
    </row>
    <row r="696" spans="5:24" ht="15.75" customHeight="1" x14ac:dyDescent="0.3">
      <c r="E696" s="1"/>
      <c r="H696" s="2"/>
      <c r="J696" s="1"/>
      <c r="L696" s="1"/>
      <c r="N696" s="1"/>
      <c r="P696" s="1"/>
      <c r="R696" s="1"/>
      <c r="T696" s="1"/>
      <c r="V696" s="1"/>
      <c r="X696" s="1"/>
    </row>
    <row r="697" spans="5:24" ht="15.75" customHeight="1" x14ac:dyDescent="0.3">
      <c r="E697" s="1"/>
      <c r="H697" s="2"/>
      <c r="J697" s="1"/>
      <c r="L697" s="1"/>
      <c r="N697" s="1"/>
      <c r="P697" s="1"/>
      <c r="R697" s="1"/>
      <c r="T697" s="1"/>
      <c r="V697" s="1"/>
      <c r="X697" s="1"/>
    </row>
    <row r="698" spans="5:24" ht="15.75" customHeight="1" x14ac:dyDescent="0.3">
      <c r="E698" s="1"/>
      <c r="H698" s="2"/>
      <c r="J698" s="1"/>
      <c r="L698" s="1"/>
      <c r="N698" s="1"/>
      <c r="P698" s="1"/>
      <c r="R698" s="1"/>
      <c r="T698" s="1"/>
      <c r="V698" s="1"/>
      <c r="X698" s="1"/>
    </row>
    <row r="699" spans="5:24" ht="15.75" customHeight="1" x14ac:dyDescent="0.3">
      <c r="E699" s="1"/>
      <c r="H699" s="2"/>
      <c r="J699" s="1"/>
      <c r="L699" s="1"/>
      <c r="N699" s="1"/>
      <c r="P699" s="1"/>
      <c r="R699" s="1"/>
      <c r="T699" s="1"/>
      <c r="V699" s="1"/>
      <c r="X699" s="1"/>
    </row>
    <row r="700" spans="5:24" ht="15.75" customHeight="1" x14ac:dyDescent="0.3">
      <c r="E700" s="1"/>
      <c r="H700" s="2"/>
      <c r="J700" s="1"/>
      <c r="L700" s="1"/>
      <c r="N700" s="1"/>
      <c r="P700" s="1"/>
      <c r="R700" s="1"/>
      <c r="T700" s="1"/>
      <c r="V700" s="1"/>
      <c r="X700" s="1"/>
    </row>
    <row r="701" spans="5:24" ht="15.75" customHeight="1" x14ac:dyDescent="0.3">
      <c r="E701" s="1"/>
      <c r="H701" s="2"/>
      <c r="J701" s="1"/>
      <c r="L701" s="1"/>
      <c r="N701" s="1"/>
      <c r="P701" s="1"/>
      <c r="R701" s="1"/>
      <c r="T701" s="1"/>
      <c r="V701" s="1"/>
      <c r="X701" s="1"/>
    </row>
    <row r="702" spans="5:24" ht="15.75" customHeight="1" x14ac:dyDescent="0.3">
      <c r="E702" s="1"/>
      <c r="H702" s="2"/>
      <c r="J702" s="1"/>
      <c r="L702" s="1"/>
      <c r="N702" s="1"/>
      <c r="P702" s="1"/>
      <c r="R702" s="1"/>
      <c r="T702" s="1"/>
      <c r="V702" s="1"/>
      <c r="X702" s="1"/>
    </row>
    <row r="703" spans="5:24" ht="15.75" customHeight="1" x14ac:dyDescent="0.3">
      <c r="E703" s="1"/>
      <c r="H703" s="2"/>
      <c r="J703" s="1"/>
      <c r="L703" s="1"/>
      <c r="N703" s="1"/>
      <c r="P703" s="1"/>
      <c r="R703" s="1"/>
      <c r="T703" s="1"/>
      <c r="V703" s="1"/>
      <c r="X703" s="1"/>
    </row>
    <row r="704" spans="5:24" ht="15.75" customHeight="1" x14ac:dyDescent="0.3">
      <c r="E704" s="1"/>
      <c r="H704" s="2"/>
      <c r="J704" s="1"/>
      <c r="L704" s="1"/>
      <c r="N704" s="1"/>
      <c r="P704" s="1"/>
      <c r="R704" s="1"/>
      <c r="T704" s="1"/>
      <c r="V704" s="1"/>
      <c r="X704" s="1"/>
    </row>
    <row r="705" spans="5:24" ht="15.75" customHeight="1" x14ac:dyDescent="0.3">
      <c r="E705" s="1"/>
      <c r="H705" s="2"/>
      <c r="J705" s="1"/>
      <c r="L705" s="1"/>
      <c r="N705" s="1"/>
      <c r="P705" s="1"/>
      <c r="R705" s="1"/>
      <c r="T705" s="1"/>
      <c r="V705" s="1"/>
      <c r="X705" s="1"/>
    </row>
    <row r="706" spans="5:24" ht="15.75" customHeight="1" x14ac:dyDescent="0.3">
      <c r="E706" s="1"/>
      <c r="H706" s="2"/>
      <c r="J706" s="1"/>
      <c r="L706" s="1"/>
      <c r="N706" s="1"/>
      <c r="P706" s="1"/>
      <c r="R706" s="1"/>
      <c r="T706" s="1"/>
      <c r="V706" s="1"/>
      <c r="X706" s="1"/>
    </row>
    <row r="707" spans="5:24" ht="15.75" customHeight="1" x14ac:dyDescent="0.3">
      <c r="E707" s="1"/>
      <c r="H707" s="2"/>
      <c r="J707" s="1"/>
      <c r="L707" s="1"/>
      <c r="N707" s="1"/>
      <c r="P707" s="1"/>
      <c r="R707" s="1"/>
      <c r="T707" s="1"/>
      <c r="V707" s="1"/>
      <c r="X707" s="1"/>
    </row>
    <row r="708" spans="5:24" ht="15.75" customHeight="1" x14ac:dyDescent="0.3">
      <c r="E708" s="1"/>
      <c r="H708" s="2"/>
      <c r="J708" s="1"/>
      <c r="L708" s="1"/>
      <c r="N708" s="1"/>
      <c r="P708" s="1"/>
      <c r="R708" s="1"/>
      <c r="T708" s="1"/>
      <c r="V708" s="1"/>
      <c r="X708" s="1"/>
    </row>
    <row r="709" spans="5:24" ht="15.75" customHeight="1" x14ac:dyDescent="0.3">
      <c r="E709" s="1"/>
      <c r="H709" s="2"/>
      <c r="J709" s="1"/>
      <c r="L709" s="1"/>
      <c r="N709" s="1"/>
      <c r="P709" s="1"/>
      <c r="R709" s="1"/>
      <c r="T709" s="1"/>
      <c r="V709" s="1"/>
      <c r="X709" s="1"/>
    </row>
    <row r="710" spans="5:24" ht="15.75" customHeight="1" x14ac:dyDescent="0.3">
      <c r="E710" s="1"/>
      <c r="H710" s="2"/>
      <c r="J710" s="1"/>
      <c r="L710" s="1"/>
      <c r="N710" s="1"/>
      <c r="P710" s="1"/>
      <c r="R710" s="1"/>
      <c r="T710" s="1"/>
      <c r="V710" s="1"/>
      <c r="X710" s="1"/>
    </row>
    <row r="711" spans="5:24" ht="15.75" customHeight="1" x14ac:dyDescent="0.3">
      <c r="E711" s="1"/>
      <c r="H711" s="2"/>
      <c r="J711" s="1"/>
      <c r="L711" s="1"/>
      <c r="N711" s="1"/>
      <c r="P711" s="1"/>
      <c r="R711" s="1"/>
      <c r="T711" s="1"/>
      <c r="V711" s="1"/>
      <c r="X711" s="1"/>
    </row>
    <row r="712" spans="5:24" ht="15.75" customHeight="1" x14ac:dyDescent="0.3">
      <c r="E712" s="1"/>
      <c r="H712" s="2"/>
      <c r="J712" s="1"/>
      <c r="L712" s="1"/>
      <c r="N712" s="1"/>
      <c r="P712" s="1"/>
      <c r="R712" s="1"/>
      <c r="T712" s="1"/>
      <c r="V712" s="1"/>
      <c r="X712" s="1"/>
    </row>
    <row r="713" spans="5:24" ht="15.75" customHeight="1" x14ac:dyDescent="0.3">
      <c r="E713" s="1"/>
      <c r="H713" s="2"/>
      <c r="J713" s="1"/>
      <c r="L713" s="1"/>
      <c r="N713" s="1"/>
      <c r="P713" s="1"/>
      <c r="R713" s="1"/>
      <c r="T713" s="1"/>
      <c r="V713" s="1"/>
      <c r="X713" s="1"/>
    </row>
    <row r="714" spans="5:24" ht="15.75" customHeight="1" x14ac:dyDescent="0.3">
      <c r="E714" s="1"/>
      <c r="H714" s="2"/>
      <c r="J714" s="1"/>
      <c r="L714" s="1"/>
      <c r="N714" s="1"/>
      <c r="P714" s="1"/>
      <c r="R714" s="1"/>
      <c r="T714" s="1"/>
      <c r="V714" s="1"/>
      <c r="X714" s="1"/>
    </row>
    <row r="715" spans="5:24" ht="15.75" customHeight="1" x14ac:dyDescent="0.3">
      <c r="E715" s="1"/>
      <c r="H715" s="2"/>
      <c r="J715" s="1"/>
      <c r="L715" s="1"/>
      <c r="N715" s="1"/>
      <c r="P715" s="1"/>
      <c r="R715" s="1"/>
      <c r="T715" s="1"/>
      <c r="V715" s="1"/>
      <c r="X715" s="1"/>
    </row>
    <row r="716" spans="5:24" ht="15.75" customHeight="1" x14ac:dyDescent="0.3">
      <c r="E716" s="1"/>
      <c r="H716" s="2"/>
      <c r="J716" s="1"/>
      <c r="L716" s="1"/>
      <c r="N716" s="1"/>
      <c r="P716" s="1"/>
      <c r="R716" s="1"/>
      <c r="T716" s="1"/>
      <c r="V716" s="1"/>
      <c r="X716" s="1"/>
    </row>
    <row r="717" spans="5:24" ht="15.75" customHeight="1" x14ac:dyDescent="0.3">
      <c r="E717" s="1"/>
      <c r="H717" s="2"/>
      <c r="J717" s="1"/>
      <c r="L717" s="1"/>
      <c r="N717" s="1"/>
      <c r="P717" s="1"/>
      <c r="R717" s="1"/>
      <c r="T717" s="1"/>
      <c r="V717" s="1"/>
      <c r="X717" s="1"/>
    </row>
    <row r="718" spans="5:24" ht="15.75" customHeight="1" x14ac:dyDescent="0.3">
      <c r="E718" s="1"/>
      <c r="H718" s="2"/>
      <c r="J718" s="1"/>
      <c r="L718" s="1"/>
      <c r="N718" s="1"/>
      <c r="P718" s="1"/>
      <c r="R718" s="1"/>
      <c r="T718" s="1"/>
      <c r="V718" s="1"/>
      <c r="X718" s="1"/>
    </row>
    <row r="719" spans="5:24" ht="15.75" customHeight="1" x14ac:dyDescent="0.3">
      <c r="E719" s="1"/>
      <c r="H719" s="2"/>
      <c r="J719" s="1"/>
      <c r="L719" s="1"/>
      <c r="N719" s="1"/>
      <c r="P719" s="1"/>
      <c r="R719" s="1"/>
      <c r="T719" s="1"/>
      <c r="V719" s="1"/>
      <c r="X719" s="1"/>
    </row>
    <row r="720" spans="5:24" ht="15.75" customHeight="1" x14ac:dyDescent="0.3">
      <c r="E720" s="1"/>
      <c r="H720" s="2"/>
      <c r="J720" s="1"/>
      <c r="L720" s="1"/>
      <c r="N720" s="1"/>
      <c r="P720" s="1"/>
      <c r="R720" s="1"/>
      <c r="T720" s="1"/>
      <c r="V720" s="1"/>
      <c r="X720" s="1"/>
    </row>
    <row r="721" spans="5:24" ht="15.75" customHeight="1" x14ac:dyDescent="0.3">
      <c r="E721" s="1"/>
      <c r="H721" s="2"/>
      <c r="J721" s="1"/>
      <c r="L721" s="1"/>
      <c r="N721" s="1"/>
      <c r="P721" s="1"/>
      <c r="R721" s="1"/>
      <c r="T721" s="1"/>
      <c r="V721" s="1"/>
      <c r="X721" s="1"/>
    </row>
    <row r="722" spans="5:24" ht="15.75" customHeight="1" x14ac:dyDescent="0.3">
      <c r="E722" s="1"/>
      <c r="H722" s="2"/>
      <c r="J722" s="1"/>
      <c r="L722" s="1"/>
      <c r="N722" s="1"/>
      <c r="P722" s="1"/>
      <c r="R722" s="1"/>
      <c r="T722" s="1"/>
      <c r="V722" s="1"/>
      <c r="X722" s="1"/>
    </row>
    <row r="723" spans="5:24" ht="15.75" customHeight="1" x14ac:dyDescent="0.3">
      <c r="E723" s="1"/>
      <c r="H723" s="2"/>
      <c r="J723" s="1"/>
      <c r="L723" s="1"/>
      <c r="N723" s="1"/>
      <c r="P723" s="1"/>
      <c r="R723" s="1"/>
      <c r="T723" s="1"/>
      <c r="V723" s="1"/>
      <c r="X723" s="1"/>
    </row>
    <row r="724" spans="5:24" ht="15.75" customHeight="1" x14ac:dyDescent="0.3">
      <c r="E724" s="1"/>
      <c r="H724" s="2"/>
      <c r="J724" s="1"/>
      <c r="L724" s="1"/>
      <c r="N724" s="1"/>
      <c r="P724" s="1"/>
      <c r="R724" s="1"/>
      <c r="T724" s="1"/>
      <c r="V724" s="1"/>
      <c r="X724" s="1"/>
    </row>
    <row r="725" spans="5:24" ht="15.75" customHeight="1" x14ac:dyDescent="0.3">
      <c r="E725" s="1"/>
      <c r="H725" s="2"/>
      <c r="J725" s="1"/>
      <c r="L725" s="1"/>
      <c r="N725" s="1"/>
      <c r="P725" s="1"/>
      <c r="R725" s="1"/>
      <c r="T725" s="1"/>
      <c r="V725" s="1"/>
      <c r="X725" s="1"/>
    </row>
    <row r="726" spans="5:24" ht="15.75" customHeight="1" x14ac:dyDescent="0.3">
      <c r="E726" s="1"/>
      <c r="H726" s="2"/>
      <c r="J726" s="1"/>
      <c r="L726" s="1"/>
      <c r="N726" s="1"/>
      <c r="P726" s="1"/>
      <c r="R726" s="1"/>
      <c r="T726" s="1"/>
      <c r="V726" s="1"/>
      <c r="X726" s="1"/>
    </row>
    <row r="727" spans="5:24" ht="15.75" customHeight="1" x14ac:dyDescent="0.3">
      <c r="E727" s="1"/>
      <c r="H727" s="2"/>
      <c r="J727" s="1"/>
      <c r="L727" s="1"/>
      <c r="N727" s="1"/>
      <c r="P727" s="1"/>
      <c r="R727" s="1"/>
      <c r="T727" s="1"/>
      <c r="V727" s="1"/>
      <c r="X727" s="1"/>
    </row>
    <row r="728" spans="5:24" ht="15.75" customHeight="1" x14ac:dyDescent="0.3">
      <c r="E728" s="1"/>
      <c r="H728" s="2"/>
      <c r="J728" s="1"/>
      <c r="L728" s="1"/>
      <c r="N728" s="1"/>
      <c r="P728" s="1"/>
      <c r="R728" s="1"/>
      <c r="T728" s="1"/>
      <c r="V728" s="1"/>
      <c r="X728" s="1"/>
    </row>
    <row r="729" spans="5:24" ht="15.75" customHeight="1" x14ac:dyDescent="0.3">
      <c r="E729" s="1"/>
      <c r="H729" s="2"/>
      <c r="J729" s="1"/>
      <c r="L729" s="1"/>
      <c r="N729" s="1"/>
      <c r="P729" s="1"/>
      <c r="R729" s="1"/>
      <c r="T729" s="1"/>
      <c r="V729" s="1"/>
      <c r="X729" s="1"/>
    </row>
    <row r="730" spans="5:24" ht="15.75" customHeight="1" x14ac:dyDescent="0.3">
      <c r="E730" s="1"/>
      <c r="H730" s="2"/>
      <c r="J730" s="1"/>
      <c r="L730" s="1"/>
      <c r="N730" s="1"/>
      <c r="P730" s="1"/>
      <c r="R730" s="1"/>
      <c r="T730" s="1"/>
      <c r="V730" s="1"/>
      <c r="X730" s="1"/>
    </row>
    <row r="731" spans="5:24" ht="15.75" customHeight="1" x14ac:dyDescent="0.3">
      <c r="E731" s="1"/>
      <c r="H731" s="2"/>
      <c r="J731" s="1"/>
      <c r="L731" s="1"/>
      <c r="N731" s="1"/>
      <c r="P731" s="1"/>
      <c r="R731" s="1"/>
      <c r="T731" s="1"/>
      <c r="V731" s="1"/>
      <c r="X731" s="1"/>
    </row>
    <row r="732" spans="5:24" ht="15.75" customHeight="1" x14ac:dyDescent="0.3">
      <c r="E732" s="1"/>
      <c r="H732" s="2"/>
      <c r="J732" s="1"/>
      <c r="L732" s="1"/>
      <c r="N732" s="1"/>
      <c r="P732" s="1"/>
      <c r="R732" s="1"/>
      <c r="T732" s="1"/>
      <c r="V732" s="1"/>
      <c r="X732" s="1"/>
    </row>
    <row r="733" spans="5:24" ht="15.75" customHeight="1" x14ac:dyDescent="0.3">
      <c r="E733" s="1"/>
      <c r="H733" s="2"/>
      <c r="J733" s="1"/>
      <c r="L733" s="1"/>
      <c r="N733" s="1"/>
      <c r="P733" s="1"/>
      <c r="R733" s="1"/>
      <c r="T733" s="1"/>
      <c r="V733" s="1"/>
      <c r="X733" s="1"/>
    </row>
    <row r="734" spans="5:24" ht="15.75" customHeight="1" x14ac:dyDescent="0.3">
      <c r="E734" s="1"/>
      <c r="H734" s="2"/>
      <c r="J734" s="1"/>
      <c r="L734" s="1"/>
      <c r="N734" s="1"/>
      <c r="P734" s="1"/>
      <c r="R734" s="1"/>
      <c r="T734" s="1"/>
      <c r="V734" s="1"/>
      <c r="X734" s="1"/>
    </row>
    <row r="735" spans="5:24" ht="15.75" customHeight="1" x14ac:dyDescent="0.3">
      <c r="E735" s="1"/>
      <c r="H735" s="2"/>
      <c r="J735" s="1"/>
      <c r="L735" s="1"/>
      <c r="N735" s="1"/>
      <c r="P735" s="1"/>
      <c r="R735" s="1"/>
      <c r="T735" s="1"/>
      <c r="V735" s="1"/>
      <c r="X735" s="1"/>
    </row>
    <row r="736" spans="5:24" ht="15.75" customHeight="1" x14ac:dyDescent="0.3">
      <c r="E736" s="1"/>
      <c r="H736" s="2"/>
      <c r="J736" s="1"/>
      <c r="L736" s="1"/>
      <c r="N736" s="1"/>
      <c r="P736" s="1"/>
      <c r="R736" s="1"/>
      <c r="T736" s="1"/>
      <c r="V736" s="1"/>
      <c r="X736" s="1"/>
    </row>
    <row r="737" spans="5:24" ht="15.75" customHeight="1" x14ac:dyDescent="0.3">
      <c r="E737" s="1"/>
      <c r="H737" s="2"/>
      <c r="J737" s="1"/>
      <c r="L737" s="1"/>
      <c r="N737" s="1"/>
      <c r="P737" s="1"/>
      <c r="R737" s="1"/>
      <c r="T737" s="1"/>
      <c r="V737" s="1"/>
      <c r="X737" s="1"/>
    </row>
    <row r="738" spans="5:24" ht="15.75" customHeight="1" x14ac:dyDescent="0.3">
      <c r="E738" s="1"/>
      <c r="H738" s="2"/>
      <c r="J738" s="1"/>
      <c r="L738" s="1"/>
      <c r="N738" s="1"/>
      <c r="P738" s="1"/>
      <c r="R738" s="1"/>
      <c r="T738" s="1"/>
      <c r="V738" s="1"/>
      <c r="X738" s="1"/>
    </row>
    <row r="739" spans="5:24" ht="15.75" customHeight="1" x14ac:dyDescent="0.3">
      <c r="E739" s="1"/>
      <c r="H739" s="2"/>
      <c r="J739" s="1"/>
      <c r="L739" s="1"/>
      <c r="N739" s="1"/>
      <c r="P739" s="1"/>
      <c r="R739" s="1"/>
      <c r="T739" s="1"/>
      <c r="V739" s="1"/>
      <c r="X739" s="1"/>
    </row>
    <row r="740" spans="5:24" ht="15.75" customHeight="1" x14ac:dyDescent="0.3">
      <c r="E740" s="1"/>
      <c r="H740" s="2"/>
      <c r="J740" s="1"/>
      <c r="L740" s="1"/>
      <c r="N740" s="1"/>
      <c r="P740" s="1"/>
      <c r="R740" s="1"/>
      <c r="T740" s="1"/>
      <c r="V740" s="1"/>
      <c r="X740" s="1"/>
    </row>
    <row r="741" spans="5:24" ht="15.75" customHeight="1" x14ac:dyDescent="0.3">
      <c r="E741" s="1"/>
      <c r="H741" s="2"/>
      <c r="J741" s="1"/>
      <c r="L741" s="1"/>
      <c r="N741" s="1"/>
      <c r="P741" s="1"/>
      <c r="R741" s="1"/>
      <c r="T741" s="1"/>
      <c r="V741" s="1"/>
      <c r="X741" s="1"/>
    </row>
    <row r="742" spans="5:24" ht="15.75" customHeight="1" x14ac:dyDescent="0.3">
      <c r="E742" s="1"/>
      <c r="H742" s="2"/>
      <c r="J742" s="1"/>
      <c r="L742" s="1"/>
      <c r="N742" s="1"/>
      <c r="P742" s="1"/>
      <c r="R742" s="1"/>
      <c r="T742" s="1"/>
      <c r="V742" s="1"/>
      <c r="X742" s="1"/>
    </row>
    <row r="743" spans="5:24" ht="15.75" customHeight="1" x14ac:dyDescent="0.3">
      <c r="E743" s="1"/>
      <c r="H743" s="2"/>
      <c r="J743" s="1"/>
      <c r="L743" s="1"/>
      <c r="N743" s="1"/>
      <c r="P743" s="1"/>
      <c r="R743" s="1"/>
      <c r="T743" s="1"/>
      <c r="V743" s="1"/>
      <c r="X743" s="1"/>
    </row>
    <row r="744" spans="5:24" ht="15.75" customHeight="1" x14ac:dyDescent="0.3">
      <c r="E744" s="1"/>
      <c r="H744" s="2"/>
      <c r="J744" s="1"/>
      <c r="L744" s="1"/>
      <c r="N744" s="1"/>
      <c r="P744" s="1"/>
      <c r="R744" s="1"/>
      <c r="T744" s="1"/>
      <c r="V744" s="1"/>
      <c r="X744" s="1"/>
    </row>
    <row r="745" spans="5:24" ht="15.75" customHeight="1" x14ac:dyDescent="0.3">
      <c r="E745" s="1"/>
      <c r="H745" s="2"/>
      <c r="J745" s="1"/>
      <c r="L745" s="1"/>
      <c r="N745" s="1"/>
      <c r="P745" s="1"/>
      <c r="R745" s="1"/>
      <c r="T745" s="1"/>
      <c r="V745" s="1"/>
      <c r="X745" s="1"/>
    </row>
    <row r="746" spans="5:24" ht="15.75" customHeight="1" x14ac:dyDescent="0.3">
      <c r="E746" s="1"/>
      <c r="H746" s="2"/>
      <c r="J746" s="1"/>
      <c r="L746" s="1"/>
      <c r="N746" s="1"/>
      <c r="P746" s="1"/>
      <c r="R746" s="1"/>
      <c r="T746" s="1"/>
      <c r="V746" s="1"/>
      <c r="X746" s="1"/>
    </row>
    <row r="747" spans="5:24" ht="15.75" customHeight="1" x14ac:dyDescent="0.3">
      <c r="E747" s="1"/>
      <c r="H747" s="2"/>
      <c r="J747" s="1"/>
      <c r="L747" s="1"/>
      <c r="N747" s="1"/>
      <c r="P747" s="1"/>
      <c r="R747" s="1"/>
      <c r="T747" s="1"/>
      <c r="V747" s="1"/>
      <c r="X747" s="1"/>
    </row>
    <row r="748" spans="5:24" ht="15.75" customHeight="1" x14ac:dyDescent="0.3">
      <c r="E748" s="1"/>
      <c r="H748" s="2"/>
      <c r="J748" s="1"/>
      <c r="L748" s="1"/>
      <c r="N748" s="1"/>
      <c r="P748" s="1"/>
      <c r="R748" s="1"/>
      <c r="T748" s="1"/>
      <c r="V748" s="1"/>
      <c r="X748" s="1"/>
    </row>
    <row r="749" spans="5:24" ht="15.75" customHeight="1" x14ac:dyDescent="0.3">
      <c r="E749" s="1"/>
      <c r="H749" s="2"/>
      <c r="J749" s="1"/>
      <c r="L749" s="1"/>
      <c r="N749" s="1"/>
      <c r="P749" s="1"/>
      <c r="R749" s="1"/>
      <c r="T749" s="1"/>
      <c r="V749" s="1"/>
      <c r="X749" s="1"/>
    </row>
    <row r="750" spans="5:24" ht="15.75" customHeight="1" x14ac:dyDescent="0.3">
      <c r="E750" s="1"/>
      <c r="H750" s="2"/>
      <c r="J750" s="1"/>
      <c r="L750" s="1"/>
      <c r="N750" s="1"/>
      <c r="P750" s="1"/>
      <c r="R750" s="1"/>
      <c r="T750" s="1"/>
      <c r="V750" s="1"/>
      <c r="X750" s="1"/>
    </row>
    <row r="751" spans="5:24" ht="15.75" customHeight="1" x14ac:dyDescent="0.3">
      <c r="E751" s="1"/>
      <c r="H751" s="2"/>
      <c r="J751" s="1"/>
      <c r="L751" s="1"/>
      <c r="N751" s="1"/>
      <c r="P751" s="1"/>
      <c r="R751" s="1"/>
      <c r="T751" s="1"/>
      <c r="V751" s="1"/>
      <c r="X751" s="1"/>
    </row>
    <row r="752" spans="5:24" ht="15.75" customHeight="1" x14ac:dyDescent="0.3">
      <c r="E752" s="1"/>
      <c r="H752" s="2"/>
      <c r="J752" s="1"/>
      <c r="L752" s="1"/>
      <c r="N752" s="1"/>
      <c r="P752" s="1"/>
      <c r="R752" s="1"/>
      <c r="T752" s="1"/>
      <c r="V752" s="1"/>
      <c r="X752" s="1"/>
    </row>
    <row r="753" spans="5:24" ht="15.75" customHeight="1" x14ac:dyDescent="0.3">
      <c r="E753" s="1"/>
      <c r="H753" s="2"/>
      <c r="J753" s="1"/>
      <c r="L753" s="1"/>
      <c r="N753" s="1"/>
      <c r="P753" s="1"/>
      <c r="R753" s="1"/>
      <c r="T753" s="1"/>
      <c r="V753" s="1"/>
      <c r="X753" s="1"/>
    </row>
    <row r="754" spans="5:24" ht="15.75" customHeight="1" x14ac:dyDescent="0.3">
      <c r="E754" s="1"/>
      <c r="H754" s="2"/>
      <c r="J754" s="1"/>
      <c r="L754" s="1"/>
      <c r="N754" s="1"/>
      <c r="P754" s="1"/>
      <c r="R754" s="1"/>
      <c r="T754" s="1"/>
      <c r="V754" s="1"/>
      <c r="X754" s="1"/>
    </row>
    <row r="755" spans="5:24" ht="15.75" customHeight="1" x14ac:dyDescent="0.3">
      <c r="E755" s="1"/>
      <c r="H755" s="2"/>
      <c r="J755" s="1"/>
      <c r="L755" s="1"/>
      <c r="N755" s="1"/>
      <c r="P755" s="1"/>
      <c r="R755" s="1"/>
      <c r="T755" s="1"/>
      <c r="V755" s="1"/>
      <c r="X755" s="1"/>
    </row>
    <row r="756" spans="5:24" ht="15.75" customHeight="1" x14ac:dyDescent="0.3">
      <c r="E756" s="1"/>
      <c r="H756" s="2"/>
      <c r="J756" s="1"/>
      <c r="L756" s="1"/>
      <c r="N756" s="1"/>
      <c r="P756" s="1"/>
      <c r="R756" s="1"/>
      <c r="T756" s="1"/>
      <c r="V756" s="1"/>
      <c r="X756" s="1"/>
    </row>
    <row r="757" spans="5:24" ht="15.75" customHeight="1" x14ac:dyDescent="0.3">
      <c r="E757" s="1"/>
      <c r="H757" s="2"/>
      <c r="J757" s="1"/>
      <c r="L757" s="1"/>
      <c r="N757" s="1"/>
      <c r="P757" s="1"/>
      <c r="R757" s="1"/>
      <c r="T757" s="1"/>
      <c r="V757" s="1"/>
      <c r="X757" s="1"/>
    </row>
    <row r="758" spans="5:24" ht="15.75" customHeight="1" x14ac:dyDescent="0.3">
      <c r="E758" s="1"/>
      <c r="H758" s="2"/>
      <c r="J758" s="1"/>
      <c r="L758" s="1"/>
      <c r="N758" s="1"/>
      <c r="P758" s="1"/>
      <c r="R758" s="1"/>
      <c r="T758" s="1"/>
      <c r="V758" s="1"/>
      <c r="X758" s="1"/>
    </row>
    <row r="759" spans="5:24" ht="15.75" customHeight="1" x14ac:dyDescent="0.3">
      <c r="E759" s="1"/>
      <c r="H759" s="2"/>
      <c r="J759" s="1"/>
      <c r="L759" s="1"/>
      <c r="N759" s="1"/>
      <c r="P759" s="1"/>
      <c r="R759" s="1"/>
      <c r="T759" s="1"/>
      <c r="V759" s="1"/>
      <c r="X759" s="1"/>
    </row>
    <row r="760" spans="5:24" ht="15.75" customHeight="1" x14ac:dyDescent="0.3">
      <c r="E760" s="1"/>
      <c r="H760" s="2"/>
      <c r="J760" s="1"/>
      <c r="L760" s="1"/>
      <c r="N760" s="1"/>
      <c r="P760" s="1"/>
      <c r="R760" s="1"/>
      <c r="T760" s="1"/>
      <c r="V760" s="1"/>
      <c r="X760" s="1"/>
    </row>
    <row r="761" spans="5:24" ht="15.75" customHeight="1" x14ac:dyDescent="0.3">
      <c r="E761" s="1"/>
      <c r="H761" s="2"/>
      <c r="J761" s="1"/>
      <c r="L761" s="1"/>
      <c r="N761" s="1"/>
      <c r="P761" s="1"/>
      <c r="R761" s="1"/>
      <c r="T761" s="1"/>
      <c r="V761" s="1"/>
      <c r="X761" s="1"/>
    </row>
    <row r="762" spans="5:24" ht="15.75" customHeight="1" x14ac:dyDescent="0.3">
      <c r="E762" s="1"/>
      <c r="H762" s="2"/>
      <c r="J762" s="1"/>
      <c r="L762" s="1"/>
      <c r="N762" s="1"/>
      <c r="P762" s="1"/>
      <c r="R762" s="1"/>
      <c r="T762" s="1"/>
      <c r="V762" s="1"/>
      <c r="X762" s="1"/>
    </row>
    <row r="763" spans="5:24" ht="15.75" customHeight="1" x14ac:dyDescent="0.3">
      <c r="E763" s="1"/>
      <c r="H763" s="2"/>
      <c r="J763" s="1"/>
      <c r="L763" s="1"/>
      <c r="N763" s="1"/>
      <c r="P763" s="1"/>
      <c r="R763" s="1"/>
      <c r="T763" s="1"/>
      <c r="V763" s="1"/>
      <c r="X763" s="1"/>
    </row>
    <row r="764" spans="5:24" ht="15.75" customHeight="1" x14ac:dyDescent="0.3">
      <c r="E764" s="1"/>
      <c r="H764" s="2"/>
      <c r="J764" s="1"/>
      <c r="L764" s="1"/>
      <c r="N764" s="1"/>
      <c r="P764" s="1"/>
      <c r="R764" s="1"/>
      <c r="T764" s="1"/>
      <c r="V764" s="1"/>
      <c r="X764" s="1"/>
    </row>
    <row r="765" spans="5:24" ht="15.75" customHeight="1" x14ac:dyDescent="0.3">
      <c r="E765" s="1"/>
      <c r="H765" s="2"/>
      <c r="J765" s="1"/>
      <c r="L765" s="1"/>
      <c r="N765" s="1"/>
      <c r="P765" s="1"/>
      <c r="R765" s="1"/>
      <c r="T765" s="1"/>
      <c r="V765" s="1"/>
      <c r="X765" s="1"/>
    </row>
    <row r="766" spans="5:24" ht="15.75" customHeight="1" x14ac:dyDescent="0.3">
      <c r="E766" s="1"/>
      <c r="H766" s="2"/>
      <c r="J766" s="1"/>
      <c r="L766" s="1"/>
      <c r="N766" s="1"/>
      <c r="P766" s="1"/>
      <c r="R766" s="1"/>
      <c r="T766" s="1"/>
      <c r="V766" s="1"/>
      <c r="X766" s="1"/>
    </row>
    <row r="767" spans="5:24" ht="15.75" customHeight="1" x14ac:dyDescent="0.3">
      <c r="E767" s="1"/>
      <c r="H767" s="2"/>
      <c r="J767" s="1"/>
      <c r="L767" s="1"/>
      <c r="N767" s="1"/>
      <c r="P767" s="1"/>
      <c r="R767" s="1"/>
      <c r="T767" s="1"/>
      <c r="V767" s="1"/>
      <c r="X767" s="1"/>
    </row>
    <row r="768" spans="5:24" ht="15.75" customHeight="1" x14ac:dyDescent="0.3">
      <c r="E768" s="1"/>
      <c r="H768" s="2"/>
      <c r="J768" s="1"/>
      <c r="L768" s="1"/>
      <c r="N768" s="1"/>
      <c r="P768" s="1"/>
      <c r="R768" s="1"/>
      <c r="T768" s="1"/>
      <c r="V768" s="1"/>
      <c r="X768" s="1"/>
    </row>
    <row r="769" spans="5:24" ht="15.75" customHeight="1" x14ac:dyDescent="0.3">
      <c r="E769" s="1"/>
      <c r="H769" s="2"/>
      <c r="J769" s="1"/>
      <c r="L769" s="1"/>
      <c r="N769" s="1"/>
      <c r="P769" s="1"/>
      <c r="R769" s="1"/>
      <c r="T769" s="1"/>
      <c r="V769" s="1"/>
      <c r="X769" s="1"/>
    </row>
    <row r="770" spans="5:24" ht="15.75" customHeight="1" x14ac:dyDescent="0.3">
      <c r="E770" s="1"/>
      <c r="H770" s="2"/>
      <c r="J770" s="1"/>
      <c r="L770" s="1"/>
      <c r="N770" s="1"/>
      <c r="P770" s="1"/>
      <c r="R770" s="1"/>
      <c r="T770" s="1"/>
      <c r="V770" s="1"/>
      <c r="X770" s="1"/>
    </row>
    <row r="771" spans="5:24" ht="15.75" customHeight="1" x14ac:dyDescent="0.3">
      <c r="E771" s="1"/>
      <c r="H771" s="2"/>
      <c r="J771" s="1"/>
      <c r="L771" s="1"/>
      <c r="N771" s="1"/>
      <c r="P771" s="1"/>
      <c r="R771" s="1"/>
      <c r="T771" s="1"/>
      <c r="V771" s="1"/>
      <c r="X771" s="1"/>
    </row>
    <row r="772" spans="5:24" ht="15.75" customHeight="1" x14ac:dyDescent="0.3">
      <c r="E772" s="1"/>
      <c r="H772" s="2"/>
      <c r="J772" s="1"/>
      <c r="L772" s="1"/>
      <c r="N772" s="1"/>
      <c r="P772" s="1"/>
      <c r="R772" s="1"/>
      <c r="T772" s="1"/>
      <c r="V772" s="1"/>
      <c r="X772" s="1"/>
    </row>
    <row r="773" spans="5:24" ht="15.75" customHeight="1" x14ac:dyDescent="0.3">
      <c r="E773" s="1"/>
      <c r="H773" s="2"/>
      <c r="J773" s="1"/>
      <c r="L773" s="1"/>
      <c r="N773" s="1"/>
      <c r="P773" s="1"/>
      <c r="R773" s="1"/>
      <c r="T773" s="1"/>
      <c r="V773" s="1"/>
      <c r="X773" s="1"/>
    </row>
    <row r="774" spans="5:24" ht="15.75" customHeight="1" x14ac:dyDescent="0.3">
      <c r="E774" s="1"/>
      <c r="H774" s="2"/>
      <c r="J774" s="1"/>
      <c r="L774" s="1"/>
      <c r="N774" s="1"/>
      <c r="P774" s="1"/>
      <c r="R774" s="1"/>
      <c r="T774" s="1"/>
      <c r="V774" s="1"/>
      <c r="X774" s="1"/>
    </row>
    <row r="775" spans="5:24" ht="15.75" customHeight="1" x14ac:dyDescent="0.3">
      <c r="E775" s="1"/>
      <c r="H775" s="2"/>
      <c r="J775" s="1"/>
      <c r="L775" s="1"/>
      <c r="N775" s="1"/>
      <c r="P775" s="1"/>
      <c r="R775" s="1"/>
      <c r="T775" s="1"/>
      <c r="V775" s="1"/>
      <c r="X775" s="1"/>
    </row>
    <row r="776" spans="5:24" ht="15.75" customHeight="1" x14ac:dyDescent="0.3">
      <c r="E776" s="1"/>
      <c r="H776" s="2"/>
      <c r="J776" s="1"/>
      <c r="L776" s="1"/>
      <c r="N776" s="1"/>
      <c r="P776" s="1"/>
      <c r="R776" s="1"/>
      <c r="T776" s="1"/>
      <c r="V776" s="1"/>
      <c r="X776" s="1"/>
    </row>
    <row r="777" spans="5:24" ht="15.75" customHeight="1" x14ac:dyDescent="0.3">
      <c r="E777" s="1"/>
      <c r="H777" s="2"/>
      <c r="J777" s="1"/>
      <c r="L777" s="1"/>
      <c r="N777" s="1"/>
      <c r="P777" s="1"/>
      <c r="R777" s="1"/>
      <c r="T777" s="1"/>
      <c r="V777" s="1"/>
      <c r="X777" s="1"/>
    </row>
    <row r="778" spans="5:24" ht="15.75" customHeight="1" x14ac:dyDescent="0.3">
      <c r="E778" s="1"/>
      <c r="H778" s="2"/>
      <c r="J778" s="1"/>
      <c r="L778" s="1"/>
      <c r="N778" s="1"/>
      <c r="P778" s="1"/>
      <c r="R778" s="1"/>
      <c r="T778" s="1"/>
      <c r="V778" s="1"/>
      <c r="X778" s="1"/>
    </row>
    <row r="779" spans="5:24" ht="15.75" customHeight="1" x14ac:dyDescent="0.3">
      <c r="E779" s="1"/>
      <c r="H779" s="2"/>
      <c r="J779" s="1"/>
      <c r="L779" s="1"/>
      <c r="N779" s="1"/>
      <c r="P779" s="1"/>
      <c r="R779" s="1"/>
      <c r="T779" s="1"/>
      <c r="V779" s="1"/>
      <c r="X779" s="1"/>
    </row>
    <row r="780" spans="5:24" ht="15.75" customHeight="1" x14ac:dyDescent="0.3">
      <c r="E780" s="1"/>
      <c r="H780" s="2"/>
      <c r="J780" s="1"/>
      <c r="L780" s="1"/>
      <c r="N780" s="1"/>
      <c r="P780" s="1"/>
      <c r="R780" s="1"/>
      <c r="T780" s="1"/>
      <c r="V780" s="1"/>
      <c r="X780" s="1"/>
    </row>
    <row r="781" spans="5:24" ht="15.75" customHeight="1" x14ac:dyDescent="0.3">
      <c r="E781" s="1"/>
      <c r="H781" s="2"/>
      <c r="J781" s="1"/>
      <c r="L781" s="1"/>
      <c r="N781" s="1"/>
      <c r="P781" s="1"/>
      <c r="R781" s="1"/>
      <c r="T781" s="1"/>
      <c r="V781" s="1"/>
      <c r="X781" s="1"/>
    </row>
    <row r="782" spans="5:24" ht="15.75" customHeight="1" x14ac:dyDescent="0.3">
      <c r="E782" s="1"/>
      <c r="H782" s="2"/>
      <c r="J782" s="1"/>
      <c r="L782" s="1"/>
      <c r="N782" s="1"/>
      <c r="P782" s="1"/>
      <c r="R782" s="1"/>
      <c r="T782" s="1"/>
      <c r="V782" s="1"/>
      <c r="X782" s="1"/>
    </row>
    <row r="783" spans="5:24" ht="15.75" customHeight="1" x14ac:dyDescent="0.3">
      <c r="E783" s="1"/>
      <c r="H783" s="2"/>
      <c r="J783" s="1"/>
      <c r="L783" s="1"/>
      <c r="N783" s="1"/>
      <c r="P783" s="1"/>
      <c r="R783" s="1"/>
      <c r="T783" s="1"/>
      <c r="V783" s="1"/>
      <c r="X783" s="1"/>
    </row>
    <row r="784" spans="5:24" ht="15.75" customHeight="1" x14ac:dyDescent="0.3">
      <c r="E784" s="1"/>
      <c r="H784" s="2"/>
      <c r="J784" s="1"/>
      <c r="L784" s="1"/>
      <c r="N784" s="1"/>
      <c r="P784" s="1"/>
      <c r="R784" s="1"/>
      <c r="T784" s="1"/>
      <c r="V784" s="1"/>
      <c r="X784" s="1"/>
    </row>
    <row r="785" spans="5:24" ht="15.75" customHeight="1" x14ac:dyDescent="0.3">
      <c r="E785" s="1"/>
      <c r="H785" s="2"/>
      <c r="J785" s="1"/>
      <c r="L785" s="1"/>
      <c r="N785" s="1"/>
      <c r="P785" s="1"/>
      <c r="R785" s="1"/>
      <c r="T785" s="1"/>
      <c r="V785" s="1"/>
      <c r="X785" s="1"/>
    </row>
    <row r="786" spans="5:24" ht="15.75" customHeight="1" x14ac:dyDescent="0.3">
      <c r="E786" s="1"/>
      <c r="H786" s="2"/>
      <c r="J786" s="1"/>
      <c r="L786" s="1"/>
      <c r="N786" s="1"/>
      <c r="P786" s="1"/>
      <c r="R786" s="1"/>
      <c r="T786" s="1"/>
      <c r="V786" s="1"/>
      <c r="X786" s="1"/>
    </row>
    <row r="787" spans="5:24" ht="15.75" customHeight="1" x14ac:dyDescent="0.3">
      <c r="E787" s="1"/>
      <c r="H787" s="2"/>
      <c r="J787" s="1"/>
      <c r="L787" s="1"/>
      <c r="N787" s="1"/>
      <c r="P787" s="1"/>
      <c r="R787" s="1"/>
      <c r="T787" s="1"/>
      <c r="V787" s="1"/>
      <c r="X787" s="1"/>
    </row>
    <row r="788" spans="5:24" ht="15.75" customHeight="1" x14ac:dyDescent="0.3">
      <c r="E788" s="1"/>
      <c r="H788" s="2"/>
      <c r="J788" s="1"/>
      <c r="L788" s="1"/>
      <c r="N788" s="1"/>
      <c r="P788" s="1"/>
      <c r="R788" s="1"/>
      <c r="T788" s="1"/>
      <c r="V788" s="1"/>
      <c r="X788" s="1"/>
    </row>
    <row r="789" spans="5:24" ht="15.75" customHeight="1" x14ac:dyDescent="0.3">
      <c r="E789" s="1"/>
      <c r="H789" s="2"/>
      <c r="J789" s="1"/>
      <c r="L789" s="1"/>
      <c r="N789" s="1"/>
      <c r="P789" s="1"/>
      <c r="R789" s="1"/>
      <c r="T789" s="1"/>
      <c r="V789" s="1"/>
      <c r="X789" s="1"/>
    </row>
    <row r="790" spans="5:24" ht="15.75" customHeight="1" x14ac:dyDescent="0.3">
      <c r="E790" s="1"/>
      <c r="H790" s="2"/>
      <c r="J790" s="1"/>
      <c r="L790" s="1"/>
      <c r="N790" s="1"/>
      <c r="P790" s="1"/>
      <c r="R790" s="1"/>
      <c r="T790" s="1"/>
      <c r="V790" s="1"/>
      <c r="X790" s="1"/>
    </row>
    <row r="791" spans="5:24" ht="15.75" customHeight="1" x14ac:dyDescent="0.3">
      <c r="E791" s="1"/>
      <c r="H791" s="2"/>
      <c r="J791" s="1"/>
      <c r="L791" s="1"/>
      <c r="N791" s="1"/>
      <c r="P791" s="1"/>
      <c r="R791" s="1"/>
      <c r="T791" s="1"/>
      <c r="V791" s="1"/>
      <c r="X791" s="1"/>
    </row>
    <row r="792" spans="5:24" ht="15.75" customHeight="1" x14ac:dyDescent="0.3">
      <c r="E792" s="1"/>
      <c r="H792" s="2"/>
      <c r="J792" s="1"/>
      <c r="L792" s="1"/>
      <c r="N792" s="1"/>
      <c r="P792" s="1"/>
      <c r="R792" s="1"/>
      <c r="T792" s="1"/>
      <c r="V792" s="1"/>
      <c r="X792" s="1"/>
    </row>
    <row r="793" spans="5:24" ht="15.75" customHeight="1" x14ac:dyDescent="0.3">
      <c r="E793" s="1"/>
      <c r="H793" s="2"/>
      <c r="J793" s="1"/>
      <c r="L793" s="1"/>
      <c r="N793" s="1"/>
      <c r="P793" s="1"/>
      <c r="R793" s="1"/>
      <c r="T793" s="1"/>
      <c r="V793" s="1"/>
      <c r="X793" s="1"/>
    </row>
    <row r="794" spans="5:24" ht="15.75" customHeight="1" x14ac:dyDescent="0.3">
      <c r="E794" s="1"/>
      <c r="H794" s="2"/>
      <c r="J794" s="1"/>
      <c r="L794" s="1"/>
      <c r="N794" s="1"/>
      <c r="P794" s="1"/>
      <c r="R794" s="1"/>
      <c r="T794" s="1"/>
      <c r="V794" s="1"/>
      <c r="X794" s="1"/>
    </row>
    <row r="795" spans="5:24" ht="15.75" customHeight="1" x14ac:dyDescent="0.3">
      <c r="E795" s="1"/>
      <c r="H795" s="2"/>
      <c r="J795" s="1"/>
      <c r="L795" s="1"/>
      <c r="N795" s="1"/>
      <c r="P795" s="1"/>
      <c r="R795" s="1"/>
      <c r="T795" s="1"/>
      <c r="V795" s="1"/>
      <c r="X795" s="1"/>
    </row>
    <row r="796" spans="5:24" ht="15.75" customHeight="1" x14ac:dyDescent="0.3">
      <c r="E796" s="1"/>
      <c r="H796" s="2"/>
      <c r="J796" s="1"/>
      <c r="L796" s="1"/>
      <c r="N796" s="1"/>
      <c r="P796" s="1"/>
      <c r="R796" s="1"/>
      <c r="T796" s="1"/>
      <c r="V796" s="1"/>
      <c r="X796" s="1"/>
    </row>
    <row r="797" spans="5:24" ht="15.75" customHeight="1" x14ac:dyDescent="0.3">
      <c r="E797" s="1"/>
      <c r="H797" s="2"/>
      <c r="J797" s="1"/>
      <c r="L797" s="1"/>
      <c r="N797" s="1"/>
      <c r="P797" s="1"/>
      <c r="R797" s="1"/>
      <c r="T797" s="1"/>
      <c r="V797" s="1"/>
      <c r="X797" s="1"/>
    </row>
    <row r="798" spans="5:24" ht="15.75" customHeight="1" x14ac:dyDescent="0.3">
      <c r="E798" s="1"/>
      <c r="H798" s="2"/>
      <c r="J798" s="1"/>
      <c r="L798" s="1"/>
      <c r="N798" s="1"/>
      <c r="P798" s="1"/>
      <c r="R798" s="1"/>
      <c r="T798" s="1"/>
      <c r="V798" s="1"/>
      <c r="X798" s="1"/>
    </row>
    <row r="799" spans="5:24" ht="15.75" customHeight="1" x14ac:dyDescent="0.3">
      <c r="E799" s="1"/>
      <c r="H799" s="2"/>
      <c r="J799" s="1"/>
      <c r="L799" s="1"/>
      <c r="N799" s="1"/>
      <c r="P799" s="1"/>
      <c r="R799" s="1"/>
      <c r="T799" s="1"/>
      <c r="V799" s="1"/>
      <c r="X799" s="1"/>
    </row>
    <row r="800" spans="5:24" ht="15.75" customHeight="1" x14ac:dyDescent="0.3">
      <c r="E800" s="1"/>
      <c r="H800" s="2"/>
      <c r="J800" s="1"/>
      <c r="L800" s="1"/>
      <c r="N800" s="1"/>
      <c r="P800" s="1"/>
      <c r="R800" s="1"/>
      <c r="T800" s="1"/>
      <c r="V800" s="1"/>
      <c r="X800" s="1"/>
    </row>
    <row r="801" spans="5:24" ht="15.75" customHeight="1" x14ac:dyDescent="0.3">
      <c r="E801" s="1"/>
      <c r="H801" s="2"/>
      <c r="J801" s="1"/>
      <c r="L801" s="1"/>
      <c r="N801" s="1"/>
      <c r="P801" s="1"/>
      <c r="R801" s="1"/>
      <c r="T801" s="1"/>
      <c r="V801" s="1"/>
      <c r="X801" s="1"/>
    </row>
    <row r="802" spans="5:24" ht="15.75" customHeight="1" x14ac:dyDescent="0.3">
      <c r="E802" s="1"/>
      <c r="H802" s="2"/>
      <c r="J802" s="1"/>
      <c r="L802" s="1"/>
      <c r="N802" s="1"/>
      <c r="P802" s="1"/>
      <c r="R802" s="1"/>
      <c r="T802" s="1"/>
      <c r="V802" s="1"/>
      <c r="X802" s="1"/>
    </row>
    <row r="803" spans="5:24" ht="15.75" customHeight="1" x14ac:dyDescent="0.3">
      <c r="E803" s="1"/>
      <c r="H803" s="2"/>
      <c r="J803" s="1"/>
      <c r="L803" s="1"/>
      <c r="N803" s="1"/>
      <c r="P803" s="1"/>
      <c r="R803" s="1"/>
      <c r="T803" s="1"/>
      <c r="V803" s="1"/>
      <c r="X803" s="1"/>
    </row>
    <row r="804" spans="5:24" ht="15.75" customHeight="1" x14ac:dyDescent="0.3">
      <c r="E804" s="1"/>
      <c r="H804" s="2"/>
      <c r="J804" s="1"/>
      <c r="L804" s="1"/>
      <c r="N804" s="1"/>
      <c r="P804" s="1"/>
      <c r="R804" s="1"/>
      <c r="T804" s="1"/>
      <c r="V804" s="1"/>
      <c r="X804" s="1"/>
    </row>
    <row r="805" spans="5:24" ht="15.75" customHeight="1" x14ac:dyDescent="0.3">
      <c r="E805" s="1"/>
      <c r="H805" s="2"/>
      <c r="J805" s="1"/>
      <c r="L805" s="1"/>
      <c r="N805" s="1"/>
      <c r="P805" s="1"/>
      <c r="R805" s="1"/>
      <c r="T805" s="1"/>
      <c r="V805" s="1"/>
      <c r="X805" s="1"/>
    </row>
    <row r="806" spans="5:24" ht="15.75" customHeight="1" x14ac:dyDescent="0.3">
      <c r="E806" s="1"/>
      <c r="H806" s="2"/>
      <c r="J806" s="1"/>
      <c r="L806" s="1"/>
      <c r="N806" s="1"/>
      <c r="P806" s="1"/>
      <c r="R806" s="1"/>
      <c r="T806" s="1"/>
      <c r="V806" s="1"/>
      <c r="X806" s="1"/>
    </row>
    <row r="807" spans="5:24" ht="15.75" customHeight="1" x14ac:dyDescent="0.3">
      <c r="E807" s="1"/>
      <c r="H807" s="2"/>
      <c r="J807" s="1"/>
      <c r="L807" s="1"/>
      <c r="N807" s="1"/>
      <c r="P807" s="1"/>
      <c r="R807" s="1"/>
      <c r="T807" s="1"/>
      <c r="V807" s="1"/>
      <c r="X807" s="1"/>
    </row>
    <row r="808" spans="5:24" ht="15.75" customHeight="1" x14ac:dyDescent="0.3">
      <c r="E808" s="1"/>
      <c r="H808" s="2"/>
      <c r="J808" s="1"/>
      <c r="L808" s="1"/>
      <c r="N808" s="1"/>
      <c r="P808" s="1"/>
      <c r="R808" s="1"/>
      <c r="T808" s="1"/>
      <c r="V808" s="1"/>
      <c r="X808" s="1"/>
    </row>
    <row r="809" spans="5:24" ht="15.75" customHeight="1" x14ac:dyDescent="0.3">
      <c r="E809" s="1"/>
      <c r="H809" s="2"/>
      <c r="J809" s="1"/>
      <c r="L809" s="1"/>
      <c r="N809" s="1"/>
      <c r="P809" s="1"/>
      <c r="R809" s="1"/>
      <c r="T809" s="1"/>
      <c r="V809" s="1"/>
      <c r="X809" s="1"/>
    </row>
    <row r="810" spans="5:24" ht="15.75" customHeight="1" x14ac:dyDescent="0.3">
      <c r="E810" s="1"/>
      <c r="H810" s="2"/>
      <c r="J810" s="1"/>
      <c r="L810" s="1"/>
      <c r="N810" s="1"/>
      <c r="P810" s="1"/>
      <c r="R810" s="1"/>
      <c r="T810" s="1"/>
      <c r="V810" s="1"/>
      <c r="X810" s="1"/>
    </row>
    <row r="811" spans="5:24" ht="15.75" customHeight="1" x14ac:dyDescent="0.3">
      <c r="E811" s="1"/>
      <c r="H811" s="2"/>
      <c r="J811" s="1"/>
      <c r="L811" s="1"/>
      <c r="N811" s="1"/>
      <c r="P811" s="1"/>
      <c r="R811" s="1"/>
      <c r="T811" s="1"/>
      <c r="V811" s="1"/>
      <c r="X811" s="1"/>
    </row>
    <row r="812" spans="5:24" ht="15.75" customHeight="1" x14ac:dyDescent="0.3">
      <c r="E812" s="1"/>
      <c r="H812" s="2"/>
      <c r="J812" s="1"/>
      <c r="L812" s="1"/>
      <c r="N812" s="1"/>
      <c r="P812" s="1"/>
      <c r="R812" s="1"/>
      <c r="T812" s="1"/>
      <c r="V812" s="1"/>
      <c r="X812" s="1"/>
    </row>
    <row r="813" spans="5:24" ht="15.75" customHeight="1" x14ac:dyDescent="0.3">
      <c r="E813" s="1"/>
      <c r="H813" s="2"/>
      <c r="J813" s="1"/>
      <c r="L813" s="1"/>
      <c r="N813" s="1"/>
      <c r="P813" s="1"/>
      <c r="R813" s="1"/>
      <c r="T813" s="1"/>
      <c r="V813" s="1"/>
      <c r="X813" s="1"/>
    </row>
    <row r="814" spans="5:24" ht="15.75" customHeight="1" x14ac:dyDescent="0.3">
      <c r="E814" s="1"/>
      <c r="H814" s="2"/>
      <c r="J814" s="1"/>
      <c r="L814" s="1"/>
      <c r="N814" s="1"/>
      <c r="P814" s="1"/>
      <c r="R814" s="1"/>
      <c r="T814" s="1"/>
      <c r="V814" s="1"/>
      <c r="X814" s="1"/>
    </row>
    <row r="815" spans="5:24" ht="15.75" customHeight="1" x14ac:dyDescent="0.3">
      <c r="E815" s="1"/>
      <c r="H815" s="2"/>
      <c r="J815" s="1"/>
      <c r="L815" s="1"/>
      <c r="N815" s="1"/>
      <c r="P815" s="1"/>
      <c r="R815" s="1"/>
      <c r="T815" s="1"/>
      <c r="V815" s="1"/>
      <c r="X815" s="1"/>
    </row>
    <row r="816" spans="5:24" ht="15.75" customHeight="1" x14ac:dyDescent="0.3">
      <c r="E816" s="1"/>
      <c r="H816" s="2"/>
      <c r="J816" s="1"/>
      <c r="L816" s="1"/>
      <c r="N816" s="1"/>
      <c r="P816" s="1"/>
      <c r="R816" s="1"/>
      <c r="T816" s="1"/>
      <c r="V816" s="1"/>
      <c r="X816" s="1"/>
    </row>
    <row r="817" spans="5:24" ht="15.75" customHeight="1" x14ac:dyDescent="0.3">
      <c r="E817" s="1"/>
      <c r="H817" s="2"/>
      <c r="J817" s="1"/>
      <c r="L817" s="1"/>
      <c r="N817" s="1"/>
      <c r="P817" s="1"/>
      <c r="R817" s="1"/>
      <c r="T817" s="1"/>
      <c r="V817" s="1"/>
      <c r="X817" s="1"/>
    </row>
    <row r="818" spans="5:24" ht="15.75" customHeight="1" x14ac:dyDescent="0.3">
      <c r="E818" s="1"/>
      <c r="H818" s="2"/>
      <c r="J818" s="1"/>
      <c r="L818" s="1"/>
      <c r="N818" s="1"/>
      <c r="P818" s="1"/>
      <c r="R818" s="1"/>
      <c r="T818" s="1"/>
      <c r="V818" s="1"/>
      <c r="X818" s="1"/>
    </row>
    <row r="819" spans="5:24" ht="15.75" customHeight="1" x14ac:dyDescent="0.3">
      <c r="E819" s="1"/>
      <c r="H819" s="2"/>
      <c r="J819" s="1"/>
      <c r="L819" s="1"/>
      <c r="N819" s="1"/>
      <c r="P819" s="1"/>
      <c r="R819" s="1"/>
      <c r="T819" s="1"/>
      <c r="V819" s="1"/>
      <c r="X819" s="1"/>
    </row>
    <row r="820" spans="5:24" ht="15.75" customHeight="1" x14ac:dyDescent="0.3">
      <c r="E820" s="1"/>
      <c r="H820" s="2"/>
      <c r="J820" s="1"/>
      <c r="L820" s="1"/>
      <c r="N820" s="1"/>
      <c r="P820" s="1"/>
      <c r="R820" s="1"/>
      <c r="T820" s="1"/>
      <c r="V820" s="1"/>
      <c r="X820" s="1"/>
    </row>
    <row r="821" spans="5:24" ht="15.75" customHeight="1" x14ac:dyDescent="0.3">
      <c r="E821" s="1"/>
      <c r="H821" s="2"/>
      <c r="J821" s="1"/>
      <c r="L821" s="1"/>
      <c r="N821" s="1"/>
      <c r="P821" s="1"/>
      <c r="R821" s="1"/>
      <c r="T821" s="1"/>
      <c r="V821" s="1"/>
      <c r="X821" s="1"/>
    </row>
    <row r="822" spans="5:24" ht="15.75" customHeight="1" x14ac:dyDescent="0.3">
      <c r="E822" s="1"/>
      <c r="H822" s="2"/>
      <c r="J822" s="1"/>
      <c r="L822" s="1"/>
      <c r="N822" s="1"/>
      <c r="P822" s="1"/>
      <c r="R822" s="1"/>
      <c r="T822" s="1"/>
      <c r="V822" s="1"/>
      <c r="X822" s="1"/>
    </row>
    <row r="823" spans="5:24" ht="15.75" customHeight="1" x14ac:dyDescent="0.3">
      <c r="E823" s="1"/>
      <c r="H823" s="2"/>
      <c r="J823" s="1"/>
      <c r="L823" s="1"/>
      <c r="N823" s="1"/>
      <c r="P823" s="1"/>
      <c r="R823" s="1"/>
      <c r="T823" s="1"/>
      <c r="V823" s="1"/>
      <c r="X823" s="1"/>
    </row>
    <row r="824" spans="5:24" ht="15.75" customHeight="1" x14ac:dyDescent="0.3">
      <c r="E824" s="1"/>
      <c r="H824" s="2"/>
      <c r="J824" s="1"/>
      <c r="L824" s="1"/>
      <c r="N824" s="1"/>
      <c r="P824" s="1"/>
      <c r="R824" s="1"/>
      <c r="T824" s="1"/>
      <c r="V824" s="1"/>
      <c r="X824" s="1"/>
    </row>
    <row r="825" spans="5:24" ht="15.75" customHeight="1" x14ac:dyDescent="0.3">
      <c r="E825" s="1"/>
      <c r="H825" s="2"/>
      <c r="J825" s="1"/>
      <c r="L825" s="1"/>
      <c r="N825" s="1"/>
      <c r="P825" s="1"/>
      <c r="R825" s="1"/>
      <c r="T825" s="1"/>
      <c r="V825" s="1"/>
      <c r="X825" s="1"/>
    </row>
    <row r="826" spans="5:24" ht="15.75" customHeight="1" x14ac:dyDescent="0.3">
      <c r="E826" s="1"/>
      <c r="H826" s="2"/>
      <c r="J826" s="1"/>
      <c r="L826" s="1"/>
      <c r="N826" s="1"/>
      <c r="P826" s="1"/>
      <c r="R826" s="1"/>
      <c r="T826" s="1"/>
      <c r="V826" s="1"/>
      <c r="X826" s="1"/>
    </row>
    <row r="827" spans="5:24" ht="15.75" customHeight="1" x14ac:dyDescent="0.3">
      <c r="E827" s="1"/>
      <c r="H827" s="2"/>
      <c r="J827" s="1"/>
      <c r="L827" s="1"/>
      <c r="N827" s="1"/>
      <c r="P827" s="1"/>
      <c r="R827" s="1"/>
      <c r="T827" s="1"/>
      <c r="V827" s="1"/>
      <c r="X827" s="1"/>
    </row>
    <row r="828" spans="5:24" ht="15.75" customHeight="1" x14ac:dyDescent="0.3">
      <c r="E828" s="1"/>
      <c r="H828" s="2"/>
      <c r="J828" s="1"/>
      <c r="L828" s="1"/>
      <c r="N828" s="1"/>
      <c r="P828" s="1"/>
      <c r="R828" s="1"/>
      <c r="T828" s="1"/>
      <c r="V828" s="1"/>
      <c r="X828" s="1"/>
    </row>
    <row r="829" spans="5:24" ht="15.75" customHeight="1" x14ac:dyDescent="0.3">
      <c r="E829" s="1"/>
      <c r="H829" s="2"/>
      <c r="J829" s="1"/>
      <c r="L829" s="1"/>
      <c r="N829" s="1"/>
      <c r="P829" s="1"/>
      <c r="R829" s="1"/>
      <c r="T829" s="1"/>
      <c r="V829" s="1"/>
      <c r="X829" s="1"/>
    </row>
    <row r="830" spans="5:24" ht="15.75" customHeight="1" x14ac:dyDescent="0.3">
      <c r="E830" s="1"/>
      <c r="H830" s="2"/>
      <c r="J830" s="1"/>
      <c r="L830" s="1"/>
      <c r="N830" s="1"/>
      <c r="P830" s="1"/>
      <c r="R830" s="1"/>
      <c r="T830" s="1"/>
      <c r="V830" s="1"/>
      <c r="X830" s="1"/>
    </row>
    <row r="831" spans="5:24" ht="15.75" customHeight="1" x14ac:dyDescent="0.3">
      <c r="E831" s="1"/>
      <c r="H831" s="2"/>
      <c r="J831" s="1"/>
      <c r="L831" s="1"/>
      <c r="N831" s="1"/>
      <c r="P831" s="1"/>
      <c r="R831" s="1"/>
      <c r="T831" s="1"/>
      <c r="V831" s="1"/>
      <c r="X831" s="1"/>
    </row>
    <row r="832" spans="5:24" ht="15.75" customHeight="1" x14ac:dyDescent="0.3">
      <c r="E832" s="1"/>
      <c r="H832" s="2"/>
      <c r="J832" s="1"/>
      <c r="L832" s="1"/>
      <c r="N832" s="1"/>
      <c r="P832" s="1"/>
      <c r="R832" s="1"/>
      <c r="T832" s="1"/>
      <c r="V832" s="1"/>
      <c r="X832" s="1"/>
    </row>
    <row r="833" spans="5:24" ht="15.75" customHeight="1" x14ac:dyDescent="0.3">
      <c r="E833" s="1"/>
      <c r="H833" s="2"/>
      <c r="J833" s="1"/>
      <c r="L833" s="1"/>
      <c r="N833" s="1"/>
      <c r="P833" s="1"/>
      <c r="R833" s="1"/>
      <c r="T833" s="1"/>
      <c r="V833" s="1"/>
      <c r="X833" s="1"/>
    </row>
    <row r="834" spans="5:24" ht="15.75" customHeight="1" x14ac:dyDescent="0.3">
      <c r="E834" s="1"/>
      <c r="H834" s="2"/>
      <c r="J834" s="1"/>
      <c r="L834" s="1"/>
      <c r="N834" s="1"/>
      <c r="P834" s="1"/>
      <c r="R834" s="1"/>
      <c r="T834" s="1"/>
      <c r="V834" s="1"/>
      <c r="X834" s="1"/>
    </row>
    <row r="835" spans="5:24" ht="15.75" customHeight="1" x14ac:dyDescent="0.3">
      <c r="E835" s="1"/>
      <c r="H835" s="2"/>
      <c r="J835" s="1"/>
      <c r="L835" s="1"/>
      <c r="N835" s="1"/>
      <c r="P835" s="1"/>
      <c r="R835" s="1"/>
      <c r="T835" s="1"/>
      <c r="V835" s="1"/>
      <c r="X835" s="1"/>
    </row>
    <row r="836" spans="5:24" ht="15.75" customHeight="1" x14ac:dyDescent="0.3">
      <c r="E836" s="1"/>
      <c r="H836" s="2"/>
      <c r="J836" s="1"/>
      <c r="L836" s="1"/>
      <c r="N836" s="1"/>
      <c r="P836" s="1"/>
      <c r="R836" s="1"/>
      <c r="T836" s="1"/>
      <c r="V836" s="1"/>
      <c r="X836" s="1"/>
    </row>
    <row r="837" spans="5:24" ht="15.75" customHeight="1" x14ac:dyDescent="0.3">
      <c r="E837" s="1"/>
      <c r="H837" s="2"/>
      <c r="J837" s="1"/>
      <c r="L837" s="1"/>
      <c r="N837" s="1"/>
      <c r="P837" s="1"/>
      <c r="R837" s="1"/>
      <c r="T837" s="1"/>
      <c r="V837" s="1"/>
      <c r="X837" s="1"/>
    </row>
    <row r="838" spans="5:24" ht="15.75" customHeight="1" x14ac:dyDescent="0.3">
      <c r="E838" s="1"/>
      <c r="H838" s="2"/>
      <c r="J838" s="1"/>
      <c r="L838" s="1"/>
      <c r="N838" s="1"/>
      <c r="P838" s="1"/>
      <c r="R838" s="1"/>
      <c r="T838" s="1"/>
      <c r="V838" s="1"/>
      <c r="X838" s="1"/>
    </row>
    <row r="839" spans="5:24" ht="15.75" customHeight="1" x14ac:dyDescent="0.3">
      <c r="E839" s="1"/>
      <c r="H839" s="2"/>
      <c r="J839" s="1"/>
      <c r="L839" s="1"/>
      <c r="N839" s="1"/>
      <c r="P839" s="1"/>
      <c r="R839" s="1"/>
      <c r="T839" s="1"/>
      <c r="V839" s="1"/>
      <c r="X839" s="1"/>
    </row>
    <row r="840" spans="5:24" ht="15.75" customHeight="1" x14ac:dyDescent="0.3">
      <c r="E840" s="1"/>
      <c r="H840" s="2"/>
      <c r="J840" s="1"/>
      <c r="L840" s="1"/>
      <c r="N840" s="1"/>
      <c r="P840" s="1"/>
      <c r="R840" s="1"/>
      <c r="T840" s="1"/>
      <c r="V840" s="1"/>
      <c r="X840" s="1"/>
    </row>
    <row r="841" spans="5:24" ht="15.75" customHeight="1" x14ac:dyDescent="0.3">
      <c r="E841" s="1"/>
      <c r="H841" s="2"/>
      <c r="J841" s="1"/>
      <c r="L841" s="1"/>
      <c r="N841" s="1"/>
      <c r="P841" s="1"/>
      <c r="R841" s="1"/>
      <c r="T841" s="1"/>
      <c r="V841" s="1"/>
      <c r="X841" s="1"/>
    </row>
    <row r="842" spans="5:24" ht="15.75" customHeight="1" x14ac:dyDescent="0.3">
      <c r="E842" s="1"/>
      <c r="H842" s="2"/>
      <c r="J842" s="1"/>
      <c r="L842" s="1"/>
      <c r="N842" s="1"/>
      <c r="P842" s="1"/>
      <c r="R842" s="1"/>
      <c r="T842" s="1"/>
      <c r="V842" s="1"/>
      <c r="X842" s="1"/>
    </row>
    <row r="843" spans="5:24" ht="15.75" customHeight="1" x14ac:dyDescent="0.3">
      <c r="E843" s="1"/>
      <c r="H843" s="2"/>
      <c r="J843" s="1"/>
      <c r="L843" s="1"/>
      <c r="N843" s="1"/>
      <c r="P843" s="1"/>
      <c r="R843" s="1"/>
      <c r="T843" s="1"/>
      <c r="V843" s="1"/>
      <c r="X843" s="1"/>
    </row>
    <row r="844" spans="5:24" ht="15.75" customHeight="1" x14ac:dyDescent="0.3">
      <c r="E844" s="1"/>
      <c r="H844" s="2"/>
      <c r="J844" s="1"/>
      <c r="L844" s="1"/>
      <c r="N844" s="1"/>
      <c r="P844" s="1"/>
      <c r="R844" s="1"/>
      <c r="T844" s="1"/>
      <c r="V844" s="1"/>
      <c r="X844" s="1"/>
    </row>
    <row r="845" spans="5:24" ht="15.75" customHeight="1" x14ac:dyDescent="0.3">
      <c r="E845" s="1"/>
      <c r="H845" s="2"/>
      <c r="J845" s="1"/>
      <c r="L845" s="1"/>
      <c r="N845" s="1"/>
      <c r="P845" s="1"/>
      <c r="R845" s="1"/>
      <c r="T845" s="1"/>
      <c r="V845" s="1"/>
      <c r="X845" s="1"/>
    </row>
    <row r="846" spans="5:24" ht="15.75" customHeight="1" x14ac:dyDescent="0.3">
      <c r="E846" s="1"/>
      <c r="H846" s="2"/>
      <c r="J846" s="1"/>
      <c r="L846" s="1"/>
      <c r="N846" s="1"/>
      <c r="P846" s="1"/>
      <c r="R846" s="1"/>
      <c r="T846" s="1"/>
      <c r="V846" s="1"/>
      <c r="X846" s="1"/>
    </row>
    <row r="847" spans="5:24" ht="15.75" customHeight="1" x14ac:dyDescent="0.3">
      <c r="E847" s="1"/>
      <c r="H847" s="2"/>
      <c r="J847" s="1"/>
      <c r="L847" s="1"/>
      <c r="N847" s="1"/>
      <c r="P847" s="1"/>
      <c r="R847" s="1"/>
      <c r="T847" s="1"/>
      <c r="V847" s="1"/>
      <c r="X847" s="1"/>
    </row>
    <row r="848" spans="5:24" ht="15.75" customHeight="1" x14ac:dyDescent="0.3">
      <c r="E848" s="1"/>
      <c r="H848" s="2"/>
      <c r="J848" s="1"/>
      <c r="L848" s="1"/>
      <c r="N848" s="1"/>
      <c r="P848" s="1"/>
      <c r="R848" s="1"/>
      <c r="T848" s="1"/>
      <c r="V848" s="1"/>
      <c r="X848" s="1"/>
    </row>
    <row r="849" spans="5:24" ht="15.75" customHeight="1" x14ac:dyDescent="0.3">
      <c r="E849" s="1"/>
      <c r="H849" s="2"/>
      <c r="J849" s="1"/>
      <c r="L849" s="1"/>
      <c r="N849" s="1"/>
      <c r="P849" s="1"/>
      <c r="R849" s="1"/>
      <c r="T849" s="1"/>
      <c r="V849" s="1"/>
      <c r="X849" s="1"/>
    </row>
    <row r="850" spans="5:24" ht="15.75" customHeight="1" x14ac:dyDescent="0.3">
      <c r="E850" s="1"/>
      <c r="H850" s="2"/>
      <c r="J850" s="1"/>
      <c r="L850" s="1"/>
      <c r="N850" s="1"/>
      <c r="P850" s="1"/>
      <c r="R850" s="1"/>
      <c r="T850" s="1"/>
      <c r="V850" s="1"/>
      <c r="X850" s="1"/>
    </row>
    <row r="851" spans="5:24" ht="15.75" customHeight="1" x14ac:dyDescent="0.3">
      <c r="E851" s="1"/>
      <c r="H851" s="2"/>
      <c r="J851" s="1"/>
      <c r="L851" s="1"/>
      <c r="N851" s="1"/>
      <c r="P851" s="1"/>
      <c r="R851" s="1"/>
      <c r="T851" s="1"/>
      <c r="V851" s="1"/>
      <c r="X851" s="1"/>
    </row>
    <row r="852" spans="5:24" ht="15.75" customHeight="1" x14ac:dyDescent="0.3">
      <c r="E852" s="1"/>
      <c r="H852" s="2"/>
      <c r="J852" s="1"/>
      <c r="L852" s="1"/>
      <c r="N852" s="1"/>
      <c r="P852" s="1"/>
      <c r="R852" s="1"/>
      <c r="T852" s="1"/>
      <c r="V852" s="1"/>
      <c r="X852" s="1"/>
    </row>
    <row r="853" spans="5:24" ht="15.75" customHeight="1" x14ac:dyDescent="0.3">
      <c r="E853" s="1"/>
      <c r="H853" s="2"/>
      <c r="J853" s="1"/>
      <c r="L853" s="1"/>
      <c r="N853" s="1"/>
      <c r="P853" s="1"/>
      <c r="R853" s="1"/>
      <c r="T853" s="1"/>
      <c r="V853" s="1"/>
      <c r="X853" s="1"/>
    </row>
    <row r="854" spans="5:24" ht="15.75" customHeight="1" x14ac:dyDescent="0.3">
      <c r="E854" s="1"/>
      <c r="H854" s="2"/>
      <c r="J854" s="1"/>
      <c r="L854" s="1"/>
      <c r="N854" s="1"/>
      <c r="P854" s="1"/>
      <c r="R854" s="1"/>
      <c r="T854" s="1"/>
      <c r="V854" s="1"/>
      <c r="X854" s="1"/>
    </row>
    <row r="855" spans="5:24" ht="15.75" customHeight="1" x14ac:dyDescent="0.3">
      <c r="E855" s="1"/>
      <c r="H855" s="2"/>
      <c r="J855" s="1"/>
      <c r="L855" s="1"/>
      <c r="N855" s="1"/>
      <c r="P855" s="1"/>
      <c r="R855" s="1"/>
      <c r="T855" s="1"/>
      <c r="V855" s="1"/>
      <c r="X855" s="1"/>
    </row>
    <row r="856" spans="5:24" ht="15.75" customHeight="1" x14ac:dyDescent="0.3">
      <c r="E856" s="1"/>
      <c r="H856" s="2"/>
      <c r="J856" s="1"/>
      <c r="L856" s="1"/>
      <c r="N856" s="1"/>
      <c r="P856" s="1"/>
      <c r="R856" s="1"/>
      <c r="T856" s="1"/>
      <c r="V856" s="1"/>
      <c r="X856" s="1"/>
    </row>
    <row r="857" spans="5:24" ht="15.75" customHeight="1" x14ac:dyDescent="0.3">
      <c r="E857" s="1"/>
      <c r="H857" s="2"/>
      <c r="J857" s="1"/>
      <c r="L857" s="1"/>
      <c r="N857" s="1"/>
      <c r="P857" s="1"/>
      <c r="R857" s="1"/>
      <c r="T857" s="1"/>
      <c r="V857" s="1"/>
      <c r="X857" s="1"/>
    </row>
    <row r="858" spans="5:24" ht="15.75" customHeight="1" x14ac:dyDescent="0.3">
      <c r="E858" s="1"/>
      <c r="H858" s="2"/>
      <c r="J858" s="1"/>
      <c r="L858" s="1"/>
      <c r="N858" s="1"/>
      <c r="P858" s="1"/>
      <c r="R858" s="1"/>
      <c r="T858" s="1"/>
      <c r="V858" s="1"/>
      <c r="X858" s="1"/>
    </row>
    <row r="859" spans="5:24" ht="15.75" customHeight="1" x14ac:dyDescent="0.3">
      <c r="E859" s="1"/>
      <c r="H859" s="2"/>
      <c r="J859" s="1"/>
      <c r="L859" s="1"/>
      <c r="N859" s="1"/>
      <c r="P859" s="1"/>
      <c r="R859" s="1"/>
      <c r="T859" s="1"/>
      <c r="V859" s="1"/>
      <c r="X859" s="1"/>
    </row>
    <row r="860" spans="5:24" ht="15.75" customHeight="1" x14ac:dyDescent="0.3">
      <c r="E860" s="1"/>
      <c r="H860" s="2"/>
      <c r="J860" s="1"/>
      <c r="L860" s="1"/>
      <c r="N860" s="1"/>
      <c r="P860" s="1"/>
      <c r="R860" s="1"/>
      <c r="T860" s="1"/>
      <c r="V860" s="1"/>
      <c r="X860" s="1"/>
    </row>
    <row r="861" spans="5:24" ht="15.75" customHeight="1" x14ac:dyDescent="0.3">
      <c r="E861" s="1"/>
      <c r="H861" s="2"/>
      <c r="J861" s="1"/>
      <c r="L861" s="1"/>
      <c r="N861" s="1"/>
      <c r="P861" s="1"/>
      <c r="R861" s="1"/>
      <c r="T861" s="1"/>
      <c r="V861" s="1"/>
      <c r="X861" s="1"/>
    </row>
    <row r="862" spans="5:24" ht="15.75" customHeight="1" x14ac:dyDescent="0.3">
      <c r="E862" s="1"/>
      <c r="H862" s="2"/>
      <c r="J862" s="1"/>
      <c r="L862" s="1"/>
      <c r="N862" s="1"/>
      <c r="P862" s="1"/>
      <c r="R862" s="1"/>
      <c r="T862" s="1"/>
      <c r="V862" s="1"/>
      <c r="X862" s="1"/>
    </row>
    <row r="863" spans="5:24" ht="15.75" customHeight="1" x14ac:dyDescent="0.3">
      <c r="E863" s="1"/>
      <c r="H863" s="2"/>
      <c r="J863" s="1"/>
      <c r="L863" s="1"/>
      <c r="N863" s="1"/>
      <c r="P863" s="1"/>
      <c r="R863" s="1"/>
      <c r="T863" s="1"/>
      <c r="V863" s="1"/>
      <c r="X863" s="1"/>
    </row>
    <row r="864" spans="5:24" ht="15.75" customHeight="1" x14ac:dyDescent="0.3">
      <c r="E864" s="1"/>
      <c r="H864" s="2"/>
      <c r="J864" s="1"/>
      <c r="L864" s="1"/>
      <c r="N864" s="1"/>
      <c r="P864" s="1"/>
      <c r="R864" s="1"/>
      <c r="T864" s="1"/>
      <c r="V864" s="1"/>
      <c r="X864" s="1"/>
    </row>
    <row r="865" spans="5:24" ht="15.75" customHeight="1" x14ac:dyDescent="0.3">
      <c r="E865" s="1"/>
      <c r="H865" s="2"/>
      <c r="J865" s="1"/>
      <c r="L865" s="1"/>
      <c r="N865" s="1"/>
      <c r="P865" s="1"/>
      <c r="R865" s="1"/>
      <c r="T865" s="1"/>
      <c r="V865" s="1"/>
      <c r="X865" s="1"/>
    </row>
    <row r="866" spans="5:24" ht="15.75" customHeight="1" x14ac:dyDescent="0.3">
      <c r="E866" s="1"/>
      <c r="H866" s="2"/>
      <c r="J866" s="1"/>
      <c r="L866" s="1"/>
      <c r="N866" s="1"/>
      <c r="P866" s="1"/>
      <c r="R866" s="1"/>
      <c r="T866" s="1"/>
      <c r="V866" s="1"/>
      <c r="X866" s="1"/>
    </row>
    <row r="867" spans="5:24" ht="15.75" customHeight="1" x14ac:dyDescent="0.3">
      <c r="E867" s="1"/>
      <c r="H867" s="2"/>
      <c r="J867" s="1"/>
      <c r="L867" s="1"/>
      <c r="N867" s="1"/>
      <c r="P867" s="1"/>
      <c r="R867" s="1"/>
      <c r="T867" s="1"/>
      <c r="V867" s="1"/>
      <c r="X867" s="1"/>
    </row>
    <row r="868" spans="5:24" ht="15.75" customHeight="1" x14ac:dyDescent="0.3">
      <c r="E868" s="1"/>
      <c r="H868" s="2"/>
      <c r="J868" s="1"/>
      <c r="L868" s="1"/>
      <c r="N868" s="1"/>
      <c r="P868" s="1"/>
      <c r="R868" s="1"/>
      <c r="T868" s="1"/>
      <c r="V868" s="1"/>
      <c r="X868" s="1"/>
    </row>
    <row r="869" spans="5:24" ht="15.75" customHeight="1" x14ac:dyDescent="0.3">
      <c r="E869" s="1"/>
      <c r="H869" s="2"/>
      <c r="J869" s="1"/>
      <c r="L869" s="1"/>
      <c r="N869" s="1"/>
      <c r="P869" s="1"/>
      <c r="R869" s="1"/>
      <c r="T869" s="1"/>
      <c r="V869" s="1"/>
      <c r="X869" s="1"/>
    </row>
    <row r="870" spans="5:24" ht="15.75" customHeight="1" x14ac:dyDescent="0.3">
      <c r="E870" s="1"/>
      <c r="H870" s="2"/>
      <c r="J870" s="1"/>
      <c r="L870" s="1"/>
      <c r="N870" s="1"/>
      <c r="P870" s="1"/>
      <c r="R870" s="1"/>
      <c r="T870" s="1"/>
      <c r="V870" s="1"/>
      <c r="X870" s="1"/>
    </row>
    <row r="871" spans="5:24" ht="15.75" customHeight="1" x14ac:dyDescent="0.3">
      <c r="E871" s="1"/>
      <c r="H871" s="2"/>
      <c r="J871" s="1"/>
      <c r="L871" s="1"/>
      <c r="N871" s="1"/>
      <c r="P871" s="1"/>
      <c r="R871" s="1"/>
      <c r="T871" s="1"/>
      <c r="V871" s="1"/>
      <c r="X871" s="1"/>
    </row>
    <row r="872" spans="5:24" ht="15.75" customHeight="1" x14ac:dyDescent="0.3">
      <c r="E872" s="1"/>
      <c r="H872" s="2"/>
      <c r="J872" s="1"/>
      <c r="L872" s="1"/>
      <c r="N872" s="1"/>
      <c r="P872" s="1"/>
      <c r="R872" s="1"/>
      <c r="T872" s="1"/>
      <c r="V872" s="1"/>
      <c r="X872" s="1"/>
    </row>
    <row r="873" spans="5:24" ht="15.75" customHeight="1" x14ac:dyDescent="0.3">
      <c r="E873" s="1"/>
      <c r="H873" s="2"/>
      <c r="J873" s="1"/>
      <c r="L873" s="1"/>
      <c r="N873" s="1"/>
      <c r="P873" s="1"/>
      <c r="R873" s="1"/>
      <c r="T873" s="1"/>
      <c r="V873" s="1"/>
      <c r="X873" s="1"/>
    </row>
    <row r="874" spans="5:24" ht="15.75" customHeight="1" x14ac:dyDescent="0.3">
      <c r="E874" s="1"/>
      <c r="H874" s="2"/>
      <c r="J874" s="1"/>
      <c r="L874" s="1"/>
      <c r="N874" s="1"/>
      <c r="P874" s="1"/>
      <c r="R874" s="1"/>
      <c r="T874" s="1"/>
      <c r="V874" s="1"/>
      <c r="X874" s="1"/>
    </row>
    <row r="875" spans="5:24" ht="15.75" customHeight="1" x14ac:dyDescent="0.3">
      <c r="E875" s="1"/>
      <c r="H875" s="2"/>
      <c r="J875" s="1"/>
      <c r="L875" s="1"/>
      <c r="N875" s="1"/>
      <c r="P875" s="1"/>
      <c r="R875" s="1"/>
      <c r="T875" s="1"/>
      <c r="V875" s="1"/>
      <c r="X875" s="1"/>
    </row>
    <row r="876" spans="5:24" ht="15.75" customHeight="1" x14ac:dyDescent="0.3">
      <c r="E876" s="1"/>
      <c r="H876" s="2"/>
      <c r="J876" s="1"/>
      <c r="L876" s="1"/>
      <c r="N876" s="1"/>
      <c r="P876" s="1"/>
      <c r="R876" s="1"/>
      <c r="T876" s="1"/>
      <c r="V876" s="1"/>
      <c r="X876" s="1"/>
    </row>
    <row r="877" spans="5:24" ht="15.75" customHeight="1" x14ac:dyDescent="0.3">
      <c r="E877" s="1"/>
      <c r="H877" s="2"/>
      <c r="J877" s="1"/>
      <c r="L877" s="1"/>
      <c r="N877" s="1"/>
      <c r="P877" s="1"/>
      <c r="R877" s="1"/>
      <c r="T877" s="1"/>
      <c r="V877" s="1"/>
      <c r="X877" s="1"/>
    </row>
    <row r="878" spans="5:24" ht="15.75" customHeight="1" x14ac:dyDescent="0.3">
      <c r="E878" s="1"/>
      <c r="H878" s="2"/>
      <c r="J878" s="1"/>
      <c r="L878" s="1"/>
      <c r="N878" s="1"/>
      <c r="P878" s="1"/>
      <c r="R878" s="1"/>
      <c r="T878" s="1"/>
      <c r="V878" s="1"/>
      <c r="X878" s="1"/>
    </row>
    <row r="879" spans="5:24" ht="15.75" customHeight="1" x14ac:dyDescent="0.3">
      <c r="E879" s="1"/>
      <c r="H879" s="2"/>
      <c r="J879" s="1"/>
      <c r="L879" s="1"/>
      <c r="N879" s="1"/>
      <c r="P879" s="1"/>
      <c r="R879" s="1"/>
      <c r="T879" s="1"/>
      <c r="V879" s="1"/>
      <c r="X879" s="1"/>
    </row>
    <row r="880" spans="5:24" ht="15.75" customHeight="1" x14ac:dyDescent="0.3">
      <c r="E880" s="1"/>
      <c r="H880" s="2"/>
      <c r="J880" s="1"/>
      <c r="L880" s="1"/>
      <c r="N880" s="1"/>
      <c r="P880" s="1"/>
      <c r="R880" s="1"/>
      <c r="T880" s="1"/>
      <c r="V880" s="1"/>
      <c r="X880" s="1"/>
    </row>
    <row r="881" spans="5:24" ht="15.75" customHeight="1" x14ac:dyDescent="0.3">
      <c r="E881" s="1"/>
      <c r="H881" s="2"/>
      <c r="J881" s="1"/>
      <c r="L881" s="1"/>
      <c r="N881" s="1"/>
      <c r="P881" s="1"/>
      <c r="R881" s="1"/>
      <c r="T881" s="1"/>
      <c r="V881" s="1"/>
      <c r="X881" s="1"/>
    </row>
    <row r="882" spans="5:24" ht="15.75" customHeight="1" x14ac:dyDescent="0.3">
      <c r="E882" s="1"/>
      <c r="H882" s="2"/>
      <c r="J882" s="1"/>
      <c r="L882" s="1"/>
      <c r="N882" s="1"/>
      <c r="P882" s="1"/>
      <c r="R882" s="1"/>
      <c r="T882" s="1"/>
      <c r="V882" s="1"/>
      <c r="X882" s="1"/>
    </row>
    <row r="883" spans="5:24" ht="15.75" customHeight="1" x14ac:dyDescent="0.3">
      <c r="E883" s="1"/>
      <c r="H883" s="2"/>
      <c r="J883" s="1"/>
      <c r="L883" s="1"/>
      <c r="N883" s="1"/>
      <c r="P883" s="1"/>
      <c r="R883" s="1"/>
      <c r="T883" s="1"/>
      <c r="V883" s="1"/>
      <c r="X883" s="1"/>
    </row>
    <row r="884" spans="5:24" ht="15.75" customHeight="1" x14ac:dyDescent="0.3">
      <c r="E884" s="1"/>
      <c r="H884" s="2"/>
      <c r="J884" s="1"/>
      <c r="L884" s="1"/>
      <c r="N884" s="1"/>
      <c r="P884" s="1"/>
      <c r="R884" s="1"/>
      <c r="T884" s="1"/>
      <c r="V884" s="1"/>
      <c r="X884" s="1"/>
    </row>
    <row r="885" spans="5:24" ht="15.75" customHeight="1" x14ac:dyDescent="0.3">
      <c r="E885" s="1"/>
      <c r="H885" s="2"/>
      <c r="J885" s="1"/>
      <c r="L885" s="1"/>
      <c r="N885" s="1"/>
      <c r="P885" s="1"/>
      <c r="R885" s="1"/>
      <c r="T885" s="1"/>
      <c r="V885" s="1"/>
      <c r="X885" s="1"/>
    </row>
    <row r="886" spans="5:24" ht="15.75" customHeight="1" x14ac:dyDescent="0.3">
      <c r="E886" s="1"/>
      <c r="H886" s="2"/>
      <c r="J886" s="1"/>
      <c r="L886" s="1"/>
      <c r="N886" s="1"/>
      <c r="P886" s="1"/>
      <c r="R886" s="1"/>
      <c r="T886" s="1"/>
      <c r="V886" s="1"/>
      <c r="X886" s="1"/>
    </row>
    <row r="887" spans="5:24" ht="15.75" customHeight="1" x14ac:dyDescent="0.3">
      <c r="E887" s="1"/>
      <c r="H887" s="2"/>
      <c r="J887" s="1"/>
      <c r="L887" s="1"/>
      <c r="N887" s="1"/>
      <c r="P887" s="1"/>
      <c r="R887" s="1"/>
      <c r="T887" s="1"/>
      <c r="V887" s="1"/>
      <c r="X887" s="1"/>
    </row>
    <row r="888" spans="5:24" ht="15.75" customHeight="1" x14ac:dyDescent="0.3">
      <c r="E888" s="1"/>
      <c r="H888" s="2"/>
      <c r="J888" s="1"/>
      <c r="L888" s="1"/>
      <c r="N888" s="1"/>
      <c r="P888" s="1"/>
      <c r="R888" s="1"/>
      <c r="T888" s="1"/>
      <c r="V888" s="1"/>
      <c r="X888" s="1"/>
    </row>
    <row r="889" spans="5:24" ht="15.75" customHeight="1" x14ac:dyDescent="0.3">
      <c r="E889" s="1"/>
      <c r="H889" s="2"/>
      <c r="J889" s="1"/>
      <c r="L889" s="1"/>
      <c r="N889" s="1"/>
      <c r="P889" s="1"/>
      <c r="R889" s="1"/>
      <c r="T889" s="1"/>
      <c r="V889" s="1"/>
      <c r="X889" s="1"/>
    </row>
    <row r="890" spans="5:24" ht="15.75" customHeight="1" x14ac:dyDescent="0.3">
      <c r="E890" s="1"/>
      <c r="H890" s="2"/>
      <c r="J890" s="1"/>
      <c r="L890" s="1"/>
      <c r="N890" s="1"/>
      <c r="P890" s="1"/>
      <c r="R890" s="1"/>
      <c r="T890" s="1"/>
      <c r="V890" s="1"/>
      <c r="X890" s="1"/>
    </row>
    <row r="891" spans="5:24" ht="15.75" customHeight="1" x14ac:dyDescent="0.3">
      <c r="E891" s="1"/>
      <c r="H891" s="2"/>
      <c r="J891" s="1"/>
      <c r="L891" s="1"/>
      <c r="N891" s="1"/>
      <c r="P891" s="1"/>
      <c r="R891" s="1"/>
      <c r="T891" s="1"/>
      <c r="V891" s="1"/>
      <c r="X891" s="1"/>
    </row>
    <row r="892" spans="5:24" ht="15.75" customHeight="1" x14ac:dyDescent="0.3">
      <c r="E892" s="1"/>
      <c r="H892" s="2"/>
      <c r="J892" s="1"/>
      <c r="L892" s="1"/>
      <c r="N892" s="1"/>
      <c r="P892" s="1"/>
      <c r="R892" s="1"/>
      <c r="T892" s="1"/>
      <c r="V892" s="1"/>
      <c r="X892" s="1"/>
    </row>
    <row r="893" spans="5:24" ht="15.75" customHeight="1" x14ac:dyDescent="0.3">
      <c r="E893" s="1"/>
      <c r="H893" s="2"/>
      <c r="J893" s="1"/>
      <c r="L893" s="1"/>
      <c r="N893" s="1"/>
      <c r="P893" s="1"/>
      <c r="R893" s="1"/>
      <c r="T893" s="1"/>
      <c r="V893" s="1"/>
      <c r="X893" s="1"/>
    </row>
    <row r="894" spans="5:24" ht="15.75" customHeight="1" x14ac:dyDescent="0.3">
      <c r="E894" s="1"/>
      <c r="H894" s="2"/>
      <c r="J894" s="1"/>
      <c r="L894" s="1"/>
      <c r="N894" s="1"/>
      <c r="P894" s="1"/>
      <c r="R894" s="1"/>
      <c r="T894" s="1"/>
      <c r="V894" s="1"/>
      <c r="X894" s="1"/>
    </row>
    <row r="895" spans="5:24" ht="15.75" customHeight="1" x14ac:dyDescent="0.3">
      <c r="E895" s="1"/>
      <c r="H895" s="2"/>
      <c r="J895" s="1"/>
      <c r="L895" s="1"/>
      <c r="N895" s="1"/>
      <c r="P895" s="1"/>
      <c r="R895" s="1"/>
      <c r="T895" s="1"/>
      <c r="V895" s="1"/>
      <c r="X895" s="1"/>
    </row>
    <row r="896" spans="5:24" ht="15.75" customHeight="1" x14ac:dyDescent="0.3">
      <c r="E896" s="1"/>
      <c r="H896" s="2"/>
      <c r="J896" s="1"/>
      <c r="L896" s="1"/>
      <c r="N896" s="1"/>
      <c r="P896" s="1"/>
      <c r="R896" s="1"/>
      <c r="T896" s="1"/>
      <c r="V896" s="1"/>
      <c r="X896" s="1"/>
    </row>
    <row r="897" spans="5:24" ht="15.75" customHeight="1" x14ac:dyDescent="0.3">
      <c r="E897" s="1"/>
      <c r="H897" s="2"/>
      <c r="J897" s="1"/>
      <c r="L897" s="1"/>
      <c r="N897" s="1"/>
      <c r="P897" s="1"/>
      <c r="R897" s="1"/>
      <c r="T897" s="1"/>
      <c r="V897" s="1"/>
      <c r="X897" s="1"/>
    </row>
    <row r="898" spans="5:24" ht="15.75" customHeight="1" x14ac:dyDescent="0.3">
      <c r="E898" s="1"/>
      <c r="H898" s="2"/>
      <c r="J898" s="1"/>
      <c r="L898" s="1"/>
      <c r="N898" s="1"/>
      <c r="P898" s="1"/>
      <c r="R898" s="1"/>
      <c r="T898" s="1"/>
      <c r="V898" s="1"/>
      <c r="X898" s="1"/>
    </row>
    <row r="899" spans="5:24" ht="15.75" customHeight="1" x14ac:dyDescent="0.3">
      <c r="E899" s="1"/>
      <c r="H899" s="2"/>
      <c r="J899" s="1"/>
      <c r="L899" s="1"/>
      <c r="N899" s="1"/>
      <c r="P899" s="1"/>
      <c r="R899" s="1"/>
      <c r="T899" s="1"/>
      <c r="V899" s="1"/>
      <c r="X899" s="1"/>
    </row>
    <row r="900" spans="5:24" ht="15.75" customHeight="1" x14ac:dyDescent="0.3">
      <c r="E900" s="1"/>
      <c r="H900" s="2"/>
      <c r="J900" s="1"/>
      <c r="L900" s="1"/>
      <c r="N900" s="1"/>
      <c r="P900" s="1"/>
      <c r="R900" s="1"/>
      <c r="T900" s="1"/>
      <c r="V900" s="1"/>
      <c r="X900" s="1"/>
    </row>
    <row r="901" spans="5:24" ht="15.75" customHeight="1" x14ac:dyDescent="0.3">
      <c r="E901" s="1"/>
      <c r="H901" s="2"/>
      <c r="J901" s="1"/>
      <c r="L901" s="1"/>
      <c r="N901" s="1"/>
      <c r="P901" s="1"/>
      <c r="R901" s="1"/>
      <c r="T901" s="1"/>
      <c r="V901" s="1"/>
      <c r="X901" s="1"/>
    </row>
    <row r="902" spans="5:24" ht="15.75" customHeight="1" x14ac:dyDescent="0.3">
      <c r="E902" s="1"/>
      <c r="H902" s="2"/>
      <c r="J902" s="1"/>
      <c r="L902" s="1"/>
      <c r="N902" s="1"/>
      <c r="P902" s="1"/>
      <c r="R902" s="1"/>
      <c r="T902" s="1"/>
      <c r="V902" s="1"/>
      <c r="X902" s="1"/>
    </row>
    <row r="903" spans="5:24" ht="15.75" customHeight="1" x14ac:dyDescent="0.3">
      <c r="E903" s="1"/>
      <c r="H903" s="2"/>
      <c r="J903" s="1"/>
      <c r="L903" s="1"/>
      <c r="N903" s="1"/>
      <c r="P903" s="1"/>
      <c r="R903" s="1"/>
      <c r="T903" s="1"/>
      <c r="V903" s="1"/>
      <c r="X903" s="1"/>
    </row>
    <row r="904" spans="5:24" ht="15.75" customHeight="1" x14ac:dyDescent="0.3">
      <c r="E904" s="1"/>
      <c r="H904" s="2"/>
      <c r="J904" s="1"/>
      <c r="L904" s="1"/>
      <c r="N904" s="1"/>
      <c r="P904" s="1"/>
      <c r="R904" s="1"/>
      <c r="T904" s="1"/>
      <c r="V904" s="1"/>
      <c r="X904" s="1"/>
    </row>
    <row r="905" spans="5:24" ht="15.75" customHeight="1" x14ac:dyDescent="0.3">
      <c r="E905" s="1"/>
      <c r="H905" s="2"/>
      <c r="J905" s="1"/>
      <c r="L905" s="1"/>
      <c r="N905" s="1"/>
      <c r="P905" s="1"/>
      <c r="R905" s="1"/>
      <c r="T905" s="1"/>
      <c r="V905" s="1"/>
      <c r="X905" s="1"/>
    </row>
    <row r="906" spans="5:24" ht="15.75" customHeight="1" x14ac:dyDescent="0.3">
      <c r="E906" s="1"/>
      <c r="H906" s="2"/>
      <c r="J906" s="1"/>
      <c r="L906" s="1"/>
      <c r="N906" s="1"/>
      <c r="P906" s="1"/>
      <c r="R906" s="1"/>
      <c r="T906" s="1"/>
      <c r="V906" s="1"/>
      <c r="X906" s="1"/>
    </row>
    <row r="907" spans="5:24" ht="15.75" customHeight="1" x14ac:dyDescent="0.3">
      <c r="E907" s="1"/>
      <c r="H907" s="2"/>
      <c r="J907" s="1"/>
      <c r="L907" s="1"/>
      <c r="N907" s="1"/>
      <c r="P907" s="1"/>
      <c r="R907" s="1"/>
      <c r="T907" s="1"/>
      <c r="V907" s="1"/>
      <c r="X907" s="1"/>
    </row>
    <row r="908" spans="5:24" ht="15.75" customHeight="1" x14ac:dyDescent="0.3">
      <c r="E908" s="1"/>
      <c r="H908" s="2"/>
      <c r="J908" s="1"/>
      <c r="L908" s="1"/>
      <c r="N908" s="1"/>
      <c r="P908" s="1"/>
      <c r="R908" s="1"/>
      <c r="T908" s="1"/>
      <c r="V908" s="1"/>
      <c r="X908" s="1"/>
    </row>
    <row r="909" spans="5:24" ht="15.75" customHeight="1" x14ac:dyDescent="0.3">
      <c r="E909" s="1"/>
      <c r="H909" s="2"/>
      <c r="J909" s="1"/>
      <c r="L909" s="1"/>
      <c r="N909" s="1"/>
      <c r="P909" s="1"/>
      <c r="R909" s="1"/>
      <c r="T909" s="1"/>
      <c r="V909" s="1"/>
      <c r="X909" s="1"/>
    </row>
    <row r="910" spans="5:24" ht="15.75" customHeight="1" x14ac:dyDescent="0.3">
      <c r="E910" s="1"/>
      <c r="H910" s="2"/>
      <c r="J910" s="1"/>
      <c r="L910" s="1"/>
      <c r="N910" s="1"/>
      <c r="P910" s="1"/>
      <c r="R910" s="1"/>
      <c r="T910" s="1"/>
      <c r="V910" s="1"/>
      <c r="X910" s="1"/>
    </row>
    <row r="911" spans="5:24" ht="15.75" customHeight="1" x14ac:dyDescent="0.3">
      <c r="E911" s="1"/>
      <c r="H911" s="2"/>
      <c r="J911" s="1"/>
      <c r="L911" s="1"/>
      <c r="N911" s="1"/>
      <c r="P911" s="1"/>
      <c r="R911" s="1"/>
      <c r="T911" s="1"/>
      <c r="V911" s="1"/>
      <c r="X911" s="1"/>
    </row>
    <row r="912" spans="5:24" ht="15.75" customHeight="1" x14ac:dyDescent="0.3">
      <c r="E912" s="1"/>
      <c r="H912" s="2"/>
      <c r="J912" s="1"/>
      <c r="L912" s="1"/>
      <c r="N912" s="1"/>
      <c r="P912" s="1"/>
      <c r="R912" s="1"/>
      <c r="T912" s="1"/>
      <c r="V912" s="1"/>
      <c r="X912" s="1"/>
    </row>
    <row r="913" spans="5:24" ht="15.75" customHeight="1" x14ac:dyDescent="0.3">
      <c r="E913" s="1"/>
      <c r="H913" s="2"/>
      <c r="J913" s="1"/>
      <c r="L913" s="1"/>
      <c r="N913" s="1"/>
      <c r="P913" s="1"/>
      <c r="R913" s="1"/>
      <c r="T913" s="1"/>
      <c r="V913" s="1"/>
      <c r="X913" s="1"/>
    </row>
    <row r="914" spans="5:24" ht="15.75" customHeight="1" x14ac:dyDescent="0.3">
      <c r="E914" s="1"/>
      <c r="H914" s="2"/>
      <c r="J914" s="1"/>
      <c r="L914" s="1"/>
      <c r="N914" s="1"/>
      <c r="P914" s="1"/>
      <c r="R914" s="1"/>
      <c r="T914" s="1"/>
      <c r="V914" s="1"/>
      <c r="X914" s="1"/>
    </row>
    <row r="915" spans="5:24" ht="15.75" customHeight="1" x14ac:dyDescent="0.3">
      <c r="E915" s="1"/>
      <c r="H915" s="2"/>
      <c r="J915" s="1"/>
      <c r="L915" s="1"/>
      <c r="N915" s="1"/>
      <c r="P915" s="1"/>
      <c r="R915" s="1"/>
      <c r="T915" s="1"/>
      <c r="V915" s="1"/>
      <c r="X915" s="1"/>
    </row>
    <row r="916" spans="5:24" ht="15.75" customHeight="1" x14ac:dyDescent="0.3">
      <c r="E916" s="1"/>
      <c r="H916" s="2"/>
      <c r="J916" s="1"/>
      <c r="L916" s="1"/>
      <c r="N916" s="1"/>
      <c r="P916" s="1"/>
      <c r="R916" s="1"/>
      <c r="T916" s="1"/>
      <c r="V916" s="1"/>
      <c r="X916" s="1"/>
    </row>
    <row r="917" spans="5:24" ht="15.75" customHeight="1" x14ac:dyDescent="0.3">
      <c r="E917" s="1"/>
      <c r="H917" s="2"/>
      <c r="J917" s="1"/>
      <c r="L917" s="1"/>
      <c r="N917" s="1"/>
      <c r="P917" s="1"/>
      <c r="R917" s="1"/>
      <c r="T917" s="1"/>
      <c r="V917" s="1"/>
      <c r="X917" s="1"/>
    </row>
    <row r="918" spans="5:24" ht="15.75" customHeight="1" x14ac:dyDescent="0.3">
      <c r="E918" s="1"/>
      <c r="H918" s="2"/>
      <c r="J918" s="1"/>
      <c r="L918" s="1"/>
      <c r="N918" s="1"/>
      <c r="P918" s="1"/>
      <c r="R918" s="1"/>
      <c r="T918" s="1"/>
      <c r="V918" s="1"/>
      <c r="X918" s="1"/>
    </row>
    <row r="919" spans="5:24" ht="15.75" customHeight="1" x14ac:dyDescent="0.3">
      <c r="E919" s="1"/>
      <c r="H919" s="2"/>
      <c r="J919" s="1"/>
      <c r="L919" s="1"/>
      <c r="N919" s="1"/>
      <c r="P919" s="1"/>
      <c r="R919" s="1"/>
      <c r="T919" s="1"/>
      <c r="V919" s="1"/>
      <c r="X919" s="1"/>
    </row>
    <row r="920" spans="5:24" ht="15.75" customHeight="1" x14ac:dyDescent="0.3">
      <c r="E920" s="1"/>
      <c r="H920" s="2"/>
      <c r="J920" s="1"/>
      <c r="L920" s="1"/>
      <c r="N920" s="1"/>
      <c r="P920" s="1"/>
      <c r="R920" s="1"/>
      <c r="T920" s="1"/>
      <c r="V920" s="1"/>
      <c r="X920" s="1"/>
    </row>
    <row r="921" spans="5:24" ht="15.75" customHeight="1" x14ac:dyDescent="0.3">
      <c r="E921" s="1"/>
      <c r="H921" s="2"/>
      <c r="J921" s="1"/>
      <c r="L921" s="1"/>
      <c r="N921" s="1"/>
      <c r="P921" s="1"/>
      <c r="R921" s="1"/>
      <c r="T921" s="1"/>
      <c r="V921" s="1"/>
      <c r="X921" s="1"/>
    </row>
    <row r="922" spans="5:24" ht="15.75" customHeight="1" x14ac:dyDescent="0.3">
      <c r="E922" s="1"/>
      <c r="H922" s="2"/>
      <c r="J922" s="1"/>
      <c r="L922" s="1"/>
      <c r="N922" s="1"/>
      <c r="P922" s="1"/>
      <c r="R922" s="1"/>
      <c r="T922" s="1"/>
      <c r="V922" s="1"/>
      <c r="X922" s="1"/>
    </row>
    <row r="923" spans="5:24" ht="15.75" customHeight="1" x14ac:dyDescent="0.3">
      <c r="E923" s="1"/>
      <c r="H923" s="2"/>
      <c r="J923" s="1"/>
      <c r="L923" s="1"/>
      <c r="N923" s="1"/>
      <c r="P923" s="1"/>
      <c r="R923" s="1"/>
      <c r="T923" s="1"/>
      <c r="V923" s="1"/>
      <c r="X923" s="1"/>
    </row>
    <row r="924" spans="5:24" ht="15.75" customHeight="1" x14ac:dyDescent="0.3">
      <c r="E924" s="1"/>
      <c r="H924" s="2"/>
      <c r="J924" s="1"/>
      <c r="L924" s="1"/>
      <c r="N924" s="1"/>
      <c r="P924" s="1"/>
      <c r="R924" s="1"/>
      <c r="T924" s="1"/>
      <c r="V924" s="1"/>
      <c r="X924" s="1"/>
    </row>
    <row r="925" spans="5:24" ht="15.75" customHeight="1" x14ac:dyDescent="0.3">
      <c r="E925" s="1"/>
      <c r="H925" s="2"/>
      <c r="J925" s="1"/>
      <c r="L925" s="1"/>
      <c r="N925" s="1"/>
      <c r="P925" s="1"/>
      <c r="R925" s="1"/>
      <c r="T925" s="1"/>
      <c r="V925" s="1"/>
      <c r="X925" s="1"/>
    </row>
    <row r="926" spans="5:24" ht="15.75" customHeight="1" x14ac:dyDescent="0.3">
      <c r="E926" s="1"/>
      <c r="H926" s="2"/>
      <c r="J926" s="1"/>
      <c r="L926" s="1"/>
      <c r="N926" s="1"/>
      <c r="P926" s="1"/>
      <c r="R926" s="1"/>
      <c r="T926" s="1"/>
      <c r="V926" s="1"/>
      <c r="X926" s="1"/>
    </row>
    <row r="927" spans="5:24" ht="15.75" customHeight="1" x14ac:dyDescent="0.3">
      <c r="E927" s="1"/>
      <c r="H927" s="2"/>
      <c r="J927" s="1"/>
      <c r="L927" s="1"/>
      <c r="N927" s="1"/>
      <c r="P927" s="1"/>
      <c r="R927" s="1"/>
      <c r="T927" s="1"/>
      <c r="V927" s="1"/>
      <c r="X927" s="1"/>
    </row>
    <row r="928" spans="5:24" ht="15.75" customHeight="1" x14ac:dyDescent="0.3">
      <c r="E928" s="1"/>
      <c r="H928" s="2"/>
      <c r="J928" s="1"/>
      <c r="L928" s="1"/>
      <c r="N928" s="1"/>
      <c r="P928" s="1"/>
      <c r="R928" s="1"/>
      <c r="T928" s="1"/>
      <c r="V928" s="1"/>
      <c r="X928" s="1"/>
    </row>
    <row r="929" spans="5:24" ht="15.75" customHeight="1" x14ac:dyDescent="0.3">
      <c r="E929" s="1"/>
      <c r="H929" s="2"/>
      <c r="J929" s="1"/>
      <c r="L929" s="1"/>
      <c r="N929" s="1"/>
      <c r="P929" s="1"/>
      <c r="R929" s="1"/>
      <c r="T929" s="1"/>
      <c r="V929" s="1"/>
      <c r="X929" s="1"/>
    </row>
    <row r="930" spans="5:24" ht="15.75" customHeight="1" x14ac:dyDescent="0.3">
      <c r="E930" s="1"/>
      <c r="H930" s="2"/>
      <c r="J930" s="1"/>
      <c r="L930" s="1"/>
      <c r="N930" s="1"/>
      <c r="P930" s="1"/>
      <c r="R930" s="1"/>
      <c r="T930" s="1"/>
      <c r="V930" s="1"/>
      <c r="X930" s="1"/>
    </row>
    <row r="931" spans="5:24" ht="15.75" customHeight="1" x14ac:dyDescent="0.3">
      <c r="E931" s="1"/>
      <c r="H931" s="2"/>
      <c r="J931" s="1"/>
      <c r="L931" s="1"/>
      <c r="N931" s="1"/>
      <c r="P931" s="1"/>
      <c r="R931" s="1"/>
      <c r="T931" s="1"/>
      <c r="V931" s="1"/>
      <c r="X931" s="1"/>
    </row>
    <row r="932" spans="5:24" ht="15.75" customHeight="1" x14ac:dyDescent="0.3">
      <c r="E932" s="1"/>
      <c r="H932" s="2"/>
      <c r="J932" s="1"/>
      <c r="L932" s="1"/>
      <c r="N932" s="1"/>
      <c r="P932" s="1"/>
      <c r="R932" s="1"/>
      <c r="T932" s="1"/>
      <c r="V932" s="1"/>
      <c r="X932" s="1"/>
    </row>
    <row r="933" spans="5:24" ht="15.75" customHeight="1" x14ac:dyDescent="0.3">
      <c r="E933" s="1"/>
      <c r="H933" s="2"/>
      <c r="J933" s="1"/>
      <c r="L933" s="1"/>
      <c r="N933" s="1"/>
      <c r="P933" s="1"/>
      <c r="R933" s="1"/>
      <c r="T933" s="1"/>
      <c r="V933" s="1"/>
      <c r="X933" s="1"/>
    </row>
    <row r="934" spans="5:24" ht="15.75" customHeight="1" x14ac:dyDescent="0.3">
      <c r="E934" s="1"/>
      <c r="H934" s="2"/>
      <c r="J934" s="1"/>
      <c r="L934" s="1"/>
      <c r="N934" s="1"/>
      <c r="P934" s="1"/>
      <c r="R934" s="1"/>
      <c r="T934" s="1"/>
      <c r="V934" s="1"/>
      <c r="X934" s="1"/>
    </row>
    <row r="935" spans="5:24" ht="15.75" customHeight="1" x14ac:dyDescent="0.3">
      <c r="E935" s="1"/>
      <c r="H935" s="2"/>
      <c r="J935" s="1"/>
      <c r="L935" s="1"/>
      <c r="N935" s="1"/>
      <c r="P935" s="1"/>
      <c r="R935" s="1"/>
      <c r="T935" s="1"/>
      <c r="V935" s="1"/>
      <c r="X935" s="1"/>
    </row>
    <row r="936" spans="5:24" ht="15.75" customHeight="1" x14ac:dyDescent="0.3">
      <c r="E936" s="1"/>
      <c r="H936" s="2"/>
      <c r="J936" s="1"/>
      <c r="L936" s="1"/>
      <c r="N936" s="1"/>
      <c r="P936" s="1"/>
      <c r="R936" s="1"/>
      <c r="T936" s="1"/>
      <c r="V936" s="1"/>
      <c r="X936" s="1"/>
    </row>
    <row r="937" spans="5:24" ht="15.75" customHeight="1" x14ac:dyDescent="0.3">
      <c r="E937" s="1"/>
      <c r="H937" s="2"/>
      <c r="J937" s="1"/>
      <c r="L937" s="1"/>
      <c r="N937" s="1"/>
      <c r="P937" s="1"/>
      <c r="R937" s="1"/>
      <c r="T937" s="1"/>
      <c r="V937" s="1"/>
      <c r="X937" s="1"/>
    </row>
    <row r="938" spans="5:24" ht="15.75" customHeight="1" x14ac:dyDescent="0.3">
      <c r="E938" s="1"/>
      <c r="H938" s="2"/>
      <c r="J938" s="1"/>
      <c r="L938" s="1"/>
      <c r="N938" s="1"/>
      <c r="P938" s="1"/>
      <c r="R938" s="1"/>
      <c r="T938" s="1"/>
      <c r="V938" s="1"/>
      <c r="X938" s="1"/>
    </row>
    <row r="939" spans="5:24" ht="15.75" customHeight="1" x14ac:dyDescent="0.3">
      <c r="E939" s="1"/>
      <c r="H939" s="2"/>
      <c r="J939" s="1"/>
      <c r="L939" s="1"/>
      <c r="N939" s="1"/>
      <c r="P939" s="1"/>
      <c r="R939" s="1"/>
      <c r="T939" s="1"/>
      <c r="V939" s="1"/>
      <c r="X939" s="1"/>
    </row>
    <row r="940" spans="5:24" ht="15.75" customHeight="1" x14ac:dyDescent="0.3">
      <c r="E940" s="1"/>
      <c r="H940" s="2"/>
      <c r="J940" s="1"/>
      <c r="L940" s="1"/>
      <c r="N940" s="1"/>
      <c r="P940" s="1"/>
      <c r="R940" s="1"/>
      <c r="T940" s="1"/>
      <c r="V940" s="1"/>
      <c r="X940" s="1"/>
    </row>
    <row r="941" spans="5:24" ht="15.75" customHeight="1" x14ac:dyDescent="0.3">
      <c r="E941" s="1"/>
      <c r="H941" s="2"/>
      <c r="J941" s="1"/>
      <c r="L941" s="1"/>
      <c r="N941" s="1"/>
      <c r="P941" s="1"/>
      <c r="R941" s="1"/>
      <c r="T941" s="1"/>
      <c r="V941" s="1"/>
      <c r="X941" s="1"/>
    </row>
    <row r="942" spans="5:24" ht="15.75" customHeight="1" x14ac:dyDescent="0.3">
      <c r="E942" s="1"/>
      <c r="H942" s="2"/>
      <c r="J942" s="1"/>
      <c r="L942" s="1"/>
      <c r="N942" s="1"/>
      <c r="P942" s="1"/>
      <c r="R942" s="1"/>
      <c r="T942" s="1"/>
      <c r="V942" s="1"/>
      <c r="X942" s="1"/>
    </row>
    <row r="943" spans="5:24" ht="15.75" customHeight="1" x14ac:dyDescent="0.3">
      <c r="E943" s="1"/>
      <c r="H943" s="2"/>
      <c r="J943" s="1"/>
      <c r="L943" s="1"/>
      <c r="N943" s="1"/>
      <c r="P943" s="1"/>
      <c r="R943" s="1"/>
      <c r="T943" s="1"/>
      <c r="V943" s="1"/>
      <c r="X943" s="1"/>
    </row>
    <row r="944" spans="5:24" ht="15.75" customHeight="1" x14ac:dyDescent="0.3">
      <c r="E944" s="1"/>
      <c r="H944" s="2"/>
      <c r="J944" s="1"/>
      <c r="L944" s="1"/>
      <c r="N944" s="1"/>
      <c r="P944" s="1"/>
      <c r="R944" s="1"/>
      <c r="T944" s="1"/>
      <c r="V944" s="1"/>
      <c r="X944" s="1"/>
    </row>
    <row r="945" spans="5:24" ht="15.75" customHeight="1" x14ac:dyDescent="0.3">
      <c r="E945" s="1"/>
      <c r="H945" s="2"/>
      <c r="J945" s="1"/>
      <c r="L945" s="1"/>
      <c r="N945" s="1"/>
      <c r="P945" s="1"/>
      <c r="R945" s="1"/>
      <c r="T945" s="1"/>
      <c r="V945" s="1"/>
      <c r="X945" s="1"/>
    </row>
    <row r="946" spans="5:24" ht="15.75" customHeight="1" x14ac:dyDescent="0.3">
      <c r="E946" s="1"/>
      <c r="H946" s="2"/>
      <c r="J946" s="1"/>
      <c r="L946" s="1"/>
      <c r="N946" s="1"/>
      <c r="P946" s="1"/>
      <c r="R946" s="1"/>
      <c r="T946" s="1"/>
      <c r="V946" s="1"/>
      <c r="X946" s="1"/>
    </row>
    <row r="947" spans="5:24" ht="15.75" customHeight="1" x14ac:dyDescent="0.3">
      <c r="E947" s="1"/>
      <c r="H947" s="2"/>
      <c r="J947" s="1"/>
      <c r="L947" s="1"/>
      <c r="N947" s="1"/>
      <c r="P947" s="1"/>
      <c r="R947" s="1"/>
      <c r="T947" s="1"/>
      <c r="V947" s="1"/>
      <c r="X947" s="1"/>
    </row>
    <row r="948" spans="5:24" ht="15.75" customHeight="1" x14ac:dyDescent="0.3">
      <c r="E948" s="1"/>
      <c r="H948" s="2"/>
      <c r="J948" s="1"/>
      <c r="L948" s="1"/>
      <c r="N948" s="1"/>
      <c r="P948" s="1"/>
      <c r="R948" s="1"/>
      <c r="T948" s="1"/>
      <c r="V948" s="1"/>
      <c r="X948" s="1"/>
    </row>
    <row r="949" spans="5:24" ht="15.75" customHeight="1" x14ac:dyDescent="0.3">
      <c r="E949" s="1"/>
      <c r="H949" s="2"/>
      <c r="J949" s="1"/>
      <c r="L949" s="1"/>
      <c r="N949" s="1"/>
      <c r="P949" s="1"/>
      <c r="R949" s="1"/>
      <c r="T949" s="1"/>
      <c r="V949" s="1"/>
      <c r="X949" s="1"/>
    </row>
    <row r="950" spans="5:24" ht="15.75" customHeight="1" x14ac:dyDescent="0.3">
      <c r="E950" s="1"/>
      <c r="H950" s="2"/>
      <c r="J950" s="1"/>
      <c r="L950" s="1"/>
      <c r="N950" s="1"/>
      <c r="P950" s="1"/>
      <c r="R950" s="1"/>
      <c r="T950" s="1"/>
      <c r="V950" s="1"/>
      <c r="X950" s="1"/>
    </row>
    <row r="951" spans="5:24" ht="15.75" customHeight="1" x14ac:dyDescent="0.3">
      <c r="E951" s="1"/>
      <c r="H951" s="2"/>
      <c r="J951" s="1"/>
      <c r="L951" s="1"/>
      <c r="N951" s="1"/>
      <c r="P951" s="1"/>
      <c r="R951" s="1"/>
      <c r="T951" s="1"/>
      <c r="V951" s="1"/>
      <c r="X951" s="1"/>
    </row>
    <row r="952" spans="5:24" ht="15.75" customHeight="1" x14ac:dyDescent="0.3">
      <c r="E952" s="1"/>
      <c r="H952" s="2"/>
      <c r="J952" s="1"/>
      <c r="L952" s="1"/>
      <c r="N952" s="1"/>
      <c r="P952" s="1"/>
      <c r="R952" s="1"/>
      <c r="T952" s="1"/>
      <c r="V952" s="1"/>
      <c r="X952" s="1"/>
    </row>
    <row r="953" spans="5:24" ht="15.75" customHeight="1" x14ac:dyDescent="0.3">
      <c r="E953" s="1"/>
      <c r="H953" s="2"/>
      <c r="J953" s="1"/>
      <c r="L953" s="1"/>
      <c r="N953" s="1"/>
      <c r="P953" s="1"/>
      <c r="R953" s="1"/>
      <c r="T953" s="1"/>
      <c r="V953" s="1"/>
      <c r="X953" s="1"/>
    </row>
    <row r="954" spans="5:24" ht="15.75" customHeight="1" x14ac:dyDescent="0.3">
      <c r="E954" s="1"/>
      <c r="H954" s="2"/>
      <c r="J954" s="1"/>
      <c r="L954" s="1"/>
      <c r="N954" s="1"/>
      <c r="P954" s="1"/>
      <c r="R954" s="1"/>
      <c r="T954" s="1"/>
      <c r="V954" s="1"/>
      <c r="X954" s="1"/>
    </row>
    <row r="955" spans="5:24" ht="15.75" customHeight="1" x14ac:dyDescent="0.3">
      <c r="E955" s="1"/>
      <c r="H955" s="2"/>
      <c r="J955" s="1"/>
      <c r="L955" s="1"/>
      <c r="N955" s="1"/>
      <c r="P955" s="1"/>
      <c r="R955" s="1"/>
      <c r="T955" s="1"/>
      <c r="V955" s="1"/>
      <c r="X955" s="1"/>
    </row>
    <row r="956" spans="5:24" ht="15.75" customHeight="1" x14ac:dyDescent="0.3">
      <c r="E956" s="1"/>
      <c r="H956" s="2"/>
      <c r="J956" s="1"/>
      <c r="L956" s="1"/>
      <c r="N956" s="1"/>
      <c r="P956" s="1"/>
      <c r="R956" s="1"/>
      <c r="T956" s="1"/>
      <c r="V956" s="1"/>
      <c r="X956" s="1"/>
    </row>
    <row r="957" spans="5:24" ht="15.75" customHeight="1" x14ac:dyDescent="0.3">
      <c r="E957" s="1"/>
      <c r="H957" s="2"/>
      <c r="J957" s="1"/>
      <c r="L957" s="1"/>
      <c r="N957" s="1"/>
      <c r="P957" s="1"/>
      <c r="R957" s="1"/>
      <c r="T957" s="1"/>
      <c r="V957" s="1"/>
      <c r="X957" s="1"/>
    </row>
    <row r="958" spans="5:24" ht="15.75" customHeight="1" x14ac:dyDescent="0.3">
      <c r="E958" s="1"/>
      <c r="H958" s="2"/>
      <c r="J958" s="1"/>
      <c r="L958" s="1"/>
      <c r="N958" s="1"/>
      <c r="P958" s="1"/>
      <c r="R958" s="1"/>
      <c r="T958" s="1"/>
      <c r="V958" s="1"/>
      <c r="X958" s="1"/>
    </row>
    <row r="959" spans="5:24" ht="15.75" customHeight="1" x14ac:dyDescent="0.3">
      <c r="E959" s="1"/>
      <c r="H959" s="2"/>
      <c r="J959" s="1"/>
      <c r="L959" s="1"/>
      <c r="N959" s="1"/>
      <c r="P959" s="1"/>
      <c r="R959" s="1"/>
      <c r="T959" s="1"/>
      <c r="V959" s="1"/>
      <c r="X959" s="1"/>
    </row>
    <row r="960" spans="5:24" ht="15.75" customHeight="1" x14ac:dyDescent="0.3">
      <c r="E960" s="1"/>
      <c r="H960" s="2"/>
      <c r="J960" s="1"/>
      <c r="L960" s="1"/>
      <c r="N960" s="1"/>
      <c r="P960" s="1"/>
      <c r="R960" s="1"/>
      <c r="T960" s="1"/>
      <c r="V960" s="1"/>
      <c r="X960" s="1"/>
    </row>
    <row r="961" spans="5:24" ht="15.75" customHeight="1" x14ac:dyDescent="0.3">
      <c r="E961" s="1"/>
      <c r="H961" s="2"/>
      <c r="J961" s="1"/>
      <c r="L961" s="1"/>
      <c r="N961" s="1"/>
      <c r="P961" s="1"/>
      <c r="R961" s="1"/>
      <c r="T961" s="1"/>
      <c r="V961" s="1"/>
      <c r="X961" s="1"/>
    </row>
    <row r="962" spans="5:24" ht="15.75" customHeight="1" x14ac:dyDescent="0.3">
      <c r="E962" s="1"/>
      <c r="H962" s="2"/>
      <c r="J962" s="1"/>
      <c r="L962" s="1"/>
      <c r="N962" s="1"/>
      <c r="P962" s="1"/>
      <c r="R962" s="1"/>
      <c r="T962" s="1"/>
      <c r="V962" s="1"/>
      <c r="X962" s="1"/>
    </row>
    <row r="963" spans="5:24" ht="15.75" customHeight="1" x14ac:dyDescent="0.3">
      <c r="E963" s="1"/>
      <c r="H963" s="2"/>
      <c r="J963" s="1"/>
      <c r="L963" s="1"/>
      <c r="N963" s="1"/>
      <c r="P963" s="1"/>
      <c r="R963" s="1"/>
      <c r="T963" s="1"/>
      <c r="V963" s="1"/>
      <c r="X963" s="1"/>
    </row>
    <row r="964" spans="5:24" ht="15.75" customHeight="1" x14ac:dyDescent="0.3">
      <c r="E964" s="1"/>
      <c r="H964" s="2"/>
      <c r="J964" s="1"/>
      <c r="L964" s="1"/>
      <c r="N964" s="1"/>
      <c r="P964" s="1"/>
      <c r="R964" s="1"/>
      <c r="T964" s="1"/>
      <c r="V964" s="1"/>
      <c r="X964" s="1"/>
    </row>
    <row r="965" spans="5:24" ht="15.75" customHeight="1" x14ac:dyDescent="0.3">
      <c r="E965" s="1"/>
      <c r="H965" s="2"/>
      <c r="J965" s="1"/>
      <c r="L965" s="1"/>
      <c r="N965" s="1"/>
      <c r="P965" s="1"/>
      <c r="R965" s="1"/>
      <c r="T965" s="1"/>
      <c r="V965" s="1"/>
      <c r="X965" s="1"/>
    </row>
    <row r="966" spans="5:24" ht="15.75" customHeight="1" x14ac:dyDescent="0.3">
      <c r="E966" s="1"/>
      <c r="H966" s="2"/>
      <c r="J966" s="1"/>
      <c r="L966" s="1"/>
      <c r="N966" s="1"/>
      <c r="P966" s="1"/>
      <c r="R966" s="1"/>
      <c r="T966" s="1"/>
      <c r="V966" s="1"/>
      <c r="X966" s="1"/>
    </row>
    <row r="967" spans="5:24" ht="15.75" customHeight="1" x14ac:dyDescent="0.3">
      <c r="E967" s="1"/>
      <c r="H967" s="2"/>
      <c r="J967" s="1"/>
      <c r="L967" s="1"/>
      <c r="N967" s="1"/>
      <c r="P967" s="1"/>
      <c r="R967" s="1"/>
      <c r="T967" s="1"/>
      <c r="V967" s="1"/>
      <c r="X967" s="1"/>
    </row>
    <row r="968" spans="5:24" ht="15.75" customHeight="1" x14ac:dyDescent="0.3">
      <c r="E968" s="1"/>
      <c r="H968" s="2"/>
      <c r="J968" s="1"/>
      <c r="L968" s="1"/>
      <c r="N968" s="1"/>
      <c r="P968" s="1"/>
      <c r="R968" s="1"/>
      <c r="T968" s="1"/>
      <c r="V968" s="1"/>
      <c r="X968" s="1"/>
    </row>
    <row r="969" spans="5:24" ht="15.75" customHeight="1" x14ac:dyDescent="0.3">
      <c r="E969" s="1"/>
      <c r="H969" s="2"/>
      <c r="J969" s="1"/>
      <c r="L969" s="1"/>
      <c r="N969" s="1"/>
      <c r="P969" s="1"/>
      <c r="R969" s="1"/>
      <c r="T969" s="1"/>
      <c r="V969" s="1"/>
      <c r="X969" s="1"/>
    </row>
    <row r="970" spans="5:24" ht="15.75" customHeight="1" x14ac:dyDescent="0.3">
      <c r="E970" s="1"/>
      <c r="H970" s="2"/>
      <c r="J970" s="1"/>
      <c r="L970" s="1"/>
      <c r="N970" s="1"/>
      <c r="P970" s="1"/>
      <c r="R970" s="1"/>
      <c r="T970" s="1"/>
      <c r="V970" s="1"/>
      <c r="X970" s="1"/>
    </row>
    <row r="971" spans="5:24" ht="15.75" customHeight="1" x14ac:dyDescent="0.3">
      <c r="E971" s="1"/>
      <c r="H971" s="2"/>
      <c r="J971" s="1"/>
      <c r="L971" s="1"/>
      <c r="N971" s="1"/>
      <c r="P971" s="1"/>
      <c r="R971" s="1"/>
      <c r="T971" s="1"/>
      <c r="V971" s="1"/>
      <c r="X971" s="1"/>
    </row>
    <row r="972" spans="5:24" ht="15.75" customHeight="1" x14ac:dyDescent="0.3">
      <c r="E972" s="1"/>
      <c r="H972" s="2"/>
      <c r="J972" s="1"/>
      <c r="L972" s="1"/>
      <c r="N972" s="1"/>
      <c r="P972" s="1"/>
      <c r="R972" s="1"/>
      <c r="T972" s="1"/>
      <c r="V972" s="1"/>
      <c r="X972" s="1"/>
    </row>
    <row r="973" spans="5:24" ht="15.75" customHeight="1" x14ac:dyDescent="0.3">
      <c r="E973" s="1"/>
      <c r="H973" s="2"/>
      <c r="J973" s="1"/>
      <c r="L973" s="1"/>
      <c r="N973" s="1"/>
      <c r="P973" s="1"/>
      <c r="R973" s="1"/>
      <c r="T973" s="1"/>
      <c r="V973" s="1"/>
      <c r="X973" s="1"/>
    </row>
    <row r="974" spans="5:24" ht="15.75" customHeight="1" x14ac:dyDescent="0.3">
      <c r="E974" s="1"/>
      <c r="H974" s="2"/>
      <c r="J974" s="1"/>
      <c r="L974" s="1"/>
      <c r="N974" s="1"/>
      <c r="P974" s="1"/>
      <c r="R974" s="1"/>
      <c r="T974" s="1"/>
      <c r="V974" s="1"/>
      <c r="X974" s="1"/>
    </row>
    <row r="975" spans="5:24" ht="15.75" customHeight="1" x14ac:dyDescent="0.3">
      <c r="E975" s="1"/>
      <c r="H975" s="2"/>
      <c r="J975" s="1"/>
      <c r="L975" s="1"/>
      <c r="N975" s="1"/>
      <c r="P975" s="1"/>
      <c r="R975" s="1"/>
      <c r="T975" s="1"/>
      <c r="V975" s="1"/>
      <c r="X975" s="1"/>
    </row>
    <row r="976" spans="5:24" ht="15.75" customHeight="1" x14ac:dyDescent="0.3">
      <c r="E976" s="1"/>
      <c r="H976" s="2"/>
      <c r="J976" s="1"/>
      <c r="L976" s="1"/>
      <c r="N976" s="1"/>
      <c r="P976" s="1"/>
      <c r="R976" s="1"/>
      <c r="T976" s="1"/>
      <c r="V976" s="1"/>
      <c r="X976" s="1"/>
    </row>
    <row r="977" spans="5:24" ht="15.75" customHeight="1" x14ac:dyDescent="0.3">
      <c r="E977" s="1"/>
      <c r="H977" s="2"/>
      <c r="J977" s="1"/>
      <c r="L977" s="1"/>
      <c r="N977" s="1"/>
      <c r="P977" s="1"/>
      <c r="R977" s="1"/>
      <c r="T977" s="1"/>
      <c r="V977" s="1"/>
      <c r="X977" s="1"/>
    </row>
    <row r="978" spans="5:24" ht="15.75" customHeight="1" x14ac:dyDescent="0.3">
      <c r="E978" s="1"/>
      <c r="H978" s="2"/>
      <c r="J978" s="1"/>
      <c r="L978" s="1"/>
      <c r="N978" s="1"/>
      <c r="P978" s="1"/>
      <c r="R978" s="1"/>
      <c r="T978" s="1"/>
      <c r="V978" s="1"/>
      <c r="X978" s="1"/>
    </row>
    <row r="979" spans="5:24" ht="15.75" customHeight="1" x14ac:dyDescent="0.3">
      <c r="E979" s="1"/>
      <c r="H979" s="2"/>
      <c r="J979" s="1"/>
      <c r="L979" s="1"/>
      <c r="N979" s="1"/>
      <c r="P979" s="1"/>
      <c r="R979" s="1"/>
      <c r="T979" s="1"/>
      <c r="V979" s="1"/>
      <c r="X979" s="1"/>
    </row>
    <row r="980" spans="5:24" ht="15.75" customHeight="1" x14ac:dyDescent="0.3">
      <c r="E980" s="1"/>
      <c r="H980" s="2"/>
      <c r="J980" s="1"/>
      <c r="L980" s="1"/>
      <c r="N980" s="1"/>
      <c r="P980" s="1"/>
      <c r="R980" s="1"/>
      <c r="T980" s="1"/>
      <c r="V980" s="1"/>
      <c r="X980" s="1"/>
    </row>
    <row r="981" spans="5:24" ht="15.75" customHeight="1" x14ac:dyDescent="0.3">
      <c r="E981" s="1"/>
      <c r="H981" s="2"/>
      <c r="J981" s="1"/>
      <c r="L981" s="1"/>
      <c r="N981" s="1"/>
      <c r="P981" s="1"/>
      <c r="R981" s="1"/>
      <c r="T981" s="1"/>
      <c r="V981" s="1"/>
      <c r="X981" s="1"/>
    </row>
    <row r="982" spans="5:24" ht="15.75" customHeight="1" x14ac:dyDescent="0.3">
      <c r="E982" s="1"/>
      <c r="H982" s="2"/>
      <c r="J982" s="1"/>
      <c r="L982" s="1"/>
      <c r="N982" s="1"/>
      <c r="P982" s="1"/>
      <c r="R982" s="1"/>
      <c r="T982" s="1"/>
      <c r="V982" s="1"/>
      <c r="X982" s="1"/>
    </row>
    <row r="983" spans="5:24" ht="15.75" customHeight="1" x14ac:dyDescent="0.3">
      <c r="E983" s="1"/>
      <c r="H983" s="2"/>
      <c r="J983" s="1"/>
      <c r="L983" s="1"/>
      <c r="N983" s="1"/>
      <c r="P983" s="1"/>
      <c r="R983" s="1"/>
      <c r="T983" s="1"/>
      <c r="V983" s="1"/>
      <c r="X983" s="1"/>
    </row>
    <row r="984" spans="5:24" ht="15.75" customHeight="1" x14ac:dyDescent="0.3">
      <c r="E984" s="1"/>
      <c r="H984" s="2"/>
      <c r="J984" s="1"/>
      <c r="L984" s="1"/>
      <c r="N984" s="1"/>
      <c r="P984" s="1"/>
      <c r="R984" s="1"/>
      <c r="T984" s="1"/>
      <c r="V984" s="1"/>
      <c r="X984" s="1"/>
    </row>
    <row r="985" spans="5:24" ht="15.75" customHeight="1" x14ac:dyDescent="0.3">
      <c r="E985" s="1"/>
      <c r="H985" s="2"/>
      <c r="J985" s="1"/>
      <c r="L985" s="1"/>
      <c r="N985" s="1"/>
      <c r="P985" s="1"/>
      <c r="R985" s="1"/>
      <c r="T985" s="1"/>
      <c r="V985" s="1"/>
      <c r="X985" s="1"/>
    </row>
    <row r="986" spans="5:24" ht="15.75" customHeight="1" x14ac:dyDescent="0.3">
      <c r="E986" s="1"/>
      <c r="H986" s="2"/>
      <c r="J986" s="1"/>
      <c r="L986" s="1"/>
      <c r="N986" s="1"/>
      <c r="P986" s="1"/>
      <c r="R986" s="1"/>
      <c r="T986" s="1"/>
      <c r="V986" s="1"/>
      <c r="X986" s="1"/>
    </row>
    <row r="987" spans="5:24" ht="15.75" customHeight="1" x14ac:dyDescent="0.3">
      <c r="E987" s="1"/>
      <c r="H987" s="2"/>
      <c r="J987" s="1"/>
      <c r="L987" s="1"/>
      <c r="N987" s="1"/>
      <c r="P987" s="1"/>
      <c r="R987" s="1"/>
      <c r="T987" s="1"/>
      <c r="V987" s="1"/>
      <c r="X987" s="1"/>
    </row>
    <row r="988" spans="5:24" ht="15.75" customHeight="1" x14ac:dyDescent="0.3">
      <c r="E988" s="1"/>
      <c r="H988" s="2"/>
      <c r="J988" s="1"/>
      <c r="L988" s="1"/>
      <c r="N988" s="1"/>
      <c r="P988" s="1"/>
      <c r="R988" s="1"/>
      <c r="T988" s="1"/>
      <c r="V988" s="1"/>
      <c r="X988" s="1"/>
    </row>
    <row r="989" spans="5:24" ht="15.75" customHeight="1" x14ac:dyDescent="0.3">
      <c r="E989" s="1"/>
      <c r="H989" s="2"/>
      <c r="J989" s="1"/>
      <c r="L989" s="1"/>
      <c r="N989" s="1"/>
      <c r="P989" s="1"/>
      <c r="R989" s="1"/>
      <c r="T989" s="1"/>
      <c r="V989" s="1"/>
      <c r="X989" s="1"/>
    </row>
    <row r="990" spans="5:24" ht="15.75" customHeight="1" x14ac:dyDescent="0.3">
      <c r="E990" s="1"/>
      <c r="H990" s="2"/>
      <c r="J990" s="1"/>
      <c r="L990" s="1"/>
      <c r="N990" s="1"/>
      <c r="P990" s="1"/>
      <c r="R990" s="1"/>
      <c r="T990" s="1"/>
      <c r="V990" s="1"/>
      <c r="X990" s="1"/>
    </row>
    <row r="991" spans="5:24" ht="15.75" customHeight="1" x14ac:dyDescent="0.3">
      <c r="E991" s="1"/>
      <c r="H991" s="2"/>
      <c r="J991" s="1"/>
      <c r="L991" s="1"/>
      <c r="N991" s="1"/>
      <c r="P991" s="1"/>
      <c r="R991" s="1"/>
      <c r="T991" s="1"/>
      <c r="V991" s="1"/>
      <c r="X991" s="1"/>
    </row>
    <row r="992" spans="5:24" ht="15.75" customHeight="1" x14ac:dyDescent="0.3">
      <c r="E992" s="1"/>
      <c r="H992" s="2"/>
      <c r="J992" s="1"/>
      <c r="L992" s="1"/>
      <c r="N992" s="1"/>
      <c r="P992" s="1"/>
      <c r="R992" s="1"/>
      <c r="T992" s="1"/>
      <c r="V992" s="1"/>
      <c r="X992" s="1"/>
    </row>
  </sheetData>
  <mergeCells count="12">
    <mergeCell ref="W2:X2"/>
    <mergeCell ref="B2:B3"/>
    <mergeCell ref="K2:L2"/>
    <mergeCell ref="M2:N2"/>
    <mergeCell ref="O2:P2"/>
    <mergeCell ref="Q2:R2"/>
    <mergeCell ref="A2:A3"/>
    <mergeCell ref="S2:T2"/>
    <mergeCell ref="U2:V2"/>
    <mergeCell ref="A1:D1"/>
    <mergeCell ref="C91:D91"/>
    <mergeCell ref="C92:D92"/>
  </mergeCells>
  <hyperlinks>
    <hyperlink ref="C91" r:id="rId1" xr:uid="{AD3D29BB-7CC4-42E9-817C-70521EC9829B}"/>
  </hyperlinks>
  <pageMargins left="0.7" right="0.7" top="0.75" bottom="0.75" header="0" footer="0"/>
  <pageSetup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66AFB-8B34-4333-8DF8-EB01CBC2598D}">
  <dimension ref="A1:I106"/>
  <sheetViews>
    <sheetView tabSelected="1" topLeftCell="A4" zoomScaleNormal="100" workbookViewId="0">
      <selection activeCell="I106" sqref="I106"/>
    </sheetView>
  </sheetViews>
  <sheetFormatPr defaultRowHeight="14.4" x14ac:dyDescent="0.3"/>
  <cols>
    <col min="1" max="1" width="14.77734375" customWidth="1"/>
    <col min="2" max="2" width="15.33203125" customWidth="1"/>
    <col min="3" max="3" width="14.109375" customWidth="1"/>
    <col min="5" max="5" width="12.21875" customWidth="1"/>
    <col min="6" max="6" width="15.44140625" customWidth="1"/>
    <col min="9" max="9" width="11" bestFit="1" customWidth="1"/>
  </cols>
  <sheetData>
    <row r="1" spans="1:9" x14ac:dyDescent="0.3">
      <c r="A1" t="s">
        <v>110</v>
      </c>
    </row>
    <row r="2" spans="1:9" ht="15" thickBot="1" x14ac:dyDescent="0.35"/>
    <row r="3" spans="1:9" x14ac:dyDescent="0.3">
      <c r="A3" s="70" t="s">
        <v>111</v>
      </c>
      <c r="B3" s="70"/>
    </row>
    <row r="4" spans="1:9" x14ac:dyDescent="0.3">
      <c r="A4" s="67" t="s">
        <v>112</v>
      </c>
      <c r="B4" s="67">
        <v>0.71879981137581628</v>
      </c>
    </row>
    <row r="5" spans="1:9" x14ac:dyDescent="0.3">
      <c r="A5" s="67" t="s">
        <v>113</v>
      </c>
      <c r="B5" s="67">
        <v>0.51667316883390901</v>
      </c>
    </row>
    <row r="6" spans="1:9" x14ac:dyDescent="0.3">
      <c r="A6" s="67" t="s">
        <v>114</v>
      </c>
      <c r="B6" s="67">
        <v>0.51047667099844629</v>
      </c>
    </row>
    <row r="7" spans="1:9" x14ac:dyDescent="0.3">
      <c r="A7" s="67" t="s">
        <v>115</v>
      </c>
      <c r="B7" s="67">
        <v>10625.891284237558</v>
      </c>
    </row>
    <row r="8" spans="1:9" ht="15" thickBot="1" x14ac:dyDescent="0.35">
      <c r="A8" s="68" t="s">
        <v>116</v>
      </c>
      <c r="B8" s="68">
        <v>80</v>
      </c>
    </row>
    <row r="10" spans="1:9" ht="15" thickBot="1" x14ac:dyDescent="0.35">
      <c r="A10" t="s">
        <v>117</v>
      </c>
    </row>
    <row r="11" spans="1:9" x14ac:dyDescent="0.3">
      <c r="A11" s="69"/>
      <c r="B11" s="69" t="s">
        <v>122</v>
      </c>
      <c r="C11" s="69" t="s">
        <v>123</v>
      </c>
      <c r="D11" s="69" t="s">
        <v>124</v>
      </c>
      <c r="E11" s="69" t="s">
        <v>125</v>
      </c>
      <c r="F11" s="69" t="s">
        <v>126</v>
      </c>
    </row>
    <row r="12" spans="1:9" x14ac:dyDescent="0.3">
      <c r="A12" s="67" t="s">
        <v>118</v>
      </c>
      <c r="B12" s="67">
        <v>1</v>
      </c>
      <c r="C12" s="67">
        <v>9414566839.4015179</v>
      </c>
      <c r="D12" s="67">
        <v>9414566839.4015179</v>
      </c>
      <c r="E12" s="67">
        <v>83.381481371134527</v>
      </c>
      <c r="F12" s="67">
        <v>6.0027001343679573E-14</v>
      </c>
    </row>
    <row r="13" spans="1:9" x14ac:dyDescent="0.3">
      <c r="A13" s="67" t="s">
        <v>119</v>
      </c>
      <c r="B13" s="67">
        <v>78</v>
      </c>
      <c r="C13" s="67">
        <v>8806946115.5859852</v>
      </c>
      <c r="D13" s="67">
        <v>112909565.5844357</v>
      </c>
      <c r="E13" s="67"/>
      <c r="F13" s="67"/>
    </row>
    <row r="14" spans="1:9" ht="15" thickBot="1" x14ac:dyDescent="0.35">
      <c r="A14" s="68" t="s">
        <v>120</v>
      </c>
      <c r="B14" s="68">
        <v>79</v>
      </c>
      <c r="C14" s="68">
        <v>18221512954.987503</v>
      </c>
      <c r="D14" s="68"/>
      <c r="E14" s="68"/>
      <c r="F14" s="68"/>
    </row>
    <row r="15" spans="1:9" ht="15" thickBot="1" x14ac:dyDescent="0.35"/>
    <row r="16" spans="1:9" x14ac:dyDescent="0.3">
      <c r="A16" s="69"/>
      <c r="B16" s="69" t="s">
        <v>127</v>
      </c>
      <c r="C16" s="69" t="s">
        <v>115</v>
      </c>
      <c r="D16" s="69" t="s">
        <v>128</v>
      </c>
      <c r="E16" s="69" t="s">
        <v>129</v>
      </c>
      <c r="F16" s="69" t="s">
        <v>130</v>
      </c>
      <c r="G16" s="69" t="s">
        <v>131</v>
      </c>
      <c r="H16" s="69" t="s">
        <v>132</v>
      </c>
      <c r="I16" s="69" t="s">
        <v>133</v>
      </c>
    </row>
    <row r="17" spans="1:9" x14ac:dyDescent="0.3">
      <c r="A17" s="67" t="s">
        <v>121</v>
      </c>
      <c r="B17" s="67">
        <v>3030.6156069159442</v>
      </c>
      <c r="C17" s="67">
        <v>2187.1927517948948</v>
      </c>
      <c r="D17" s="67">
        <v>1.3856188963816307</v>
      </c>
      <c r="E17" s="67">
        <v>0.1698126160821033</v>
      </c>
      <c r="F17" s="67">
        <v>-1323.7506719211005</v>
      </c>
      <c r="G17" s="67">
        <v>7384.981885752989</v>
      </c>
      <c r="H17" s="67">
        <v>-1323.7506719211005</v>
      </c>
      <c r="I17" s="67">
        <v>7384.981885752989</v>
      </c>
    </row>
    <row r="18" spans="1:9" ht="15" thickBot="1" x14ac:dyDescent="0.35">
      <c r="A18" s="68" t="s">
        <v>134</v>
      </c>
      <c r="B18" s="68">
        <v>0.45483525355182436</v>
      </c>
      <c r="C18" s="68">
        <v>4.9810318127197571E-2</v>
      </c>
      <c r="D18" s="68">
        <v>9.1313460875784678</v>
      </c>
      <c r="E18" s="68">
        <v>6.0027001343678501E-14</v>
      </c>
      <c r="F18" s="68">
        <v>0.3556705277117152</v>
      </c>
      <c r="G18" s="68">
        <v>0.55399997939193357</v>
      </c>
      <c r="H18" s="68">
        <v>0.3556705277117152</v>
      </c>
      <c r="I18" s="68">
        <v>0.55399997939193357</v>
      </c>
    </row>
    <row r="22" spans="1:9" x14ac:dyDescent="0.3">
      <c r="A22" t="s">
        <v>135</v>
      </c>
    </row>
    <row r="23" spans="1:9" ht="15" thickBot="1" x14ac:dyDescent="0.35"/>
    <row r="24" spans="1:9" x14ac:dyDescent="0.3">
      <c r="A24" s="69" t="s">
        <v>136</v>
      </c>
      <c r="B24" s="69" t="s">
        <v>137</v>
      </c>
      <c r="C24" s="69" t="s">
        <v>138</v>
      </c>
      <c r="D24" s="111" t="s">
        <v>90</v>
      </c>
      <c r="E24" s="111" t="s">
        <v>144</v>
      </c>
      <c r="F24" s="69" t="s">
        <v>137</v>
      </c>
      <c r="G24" s="111" t="s">
        <v>145</v>
      </c>
      <c r="H24" s="111" t="s">
        <v>146</v>
      </c>
      <c r="I24" s="111" t="s">
        <v>147</v>
      </c>
    </row>
    <row r="25" spans="1:9" x14ac:dyDescent="0.3">
      <c r="A25" s="67">
        <v>1</v>
      </c>
      <c r="B25" s="67">
        <v>29766.741481199282</v>
      </c>
      <c r="C25" s="67">
        <v>9303.2585188007179</v>
      </c>
      <c r="D25">
        <f>'2021 г.'!T3</f>
        <v>58782</v>
      </c>
      <c r="E25">
        <f>'2021 г.'!U3</f>
        <v>39070</v>
      </c>
      <c r="F25" s="67">
        <v>29766.741481199282</v>
      </c>
      <c r="G25">
        <f>E25-F25</f>
        <v>9303.2585188007179</v>
      </c>
      <c r="H25">
        <f>ABS(G25)</f>
        <v>9303.2585188007179</v>
      </c>
      <c r="I25">
        <f>H25^2</f>
        <v>86550619.067638129</v>
      </c>
    </row>
    <row r="26" spans="1:9" x14ac:dyDescent="0.3">
      <c r="A26" s="67">
        <v>2</v>
      </c>
      <c r="B26" s="67">
        <v>12288.332357709778</v>
      </c>
      <c r="C26" s="67">
        <v>5942.6676422902219</v>
      </c>
      <c r="D26" s="66">
        <f>'2021 г.'!T4</f>
        <v>20354</v>
      </c>
      <c r="E26" s="66">
        <f>'2021 г.'!U4</f>
        <v>18231</v>
      </c>
      <c r="F26" s="67">
        <v>12288.332357709778</v>
      </c>
      <c r="G26" s="66">
        <f t="shared" ref="G26:G89" si="0">E26-F26</f>
        <v>5942.6676422902219</v>
      </c>
      <c r="H26" s="66">
        <f t="shared" ref="H26:H89" si="1">ABS(G26)</f>
        <v>5942.6676422902219</v>
      </c>
      <c r="I26" s="66">
        <f t="shared" ref="I26:I89" si="2">H26^2</f>
        <v>35315298.706723228</v>
      </c>
    </row>
    <row r="27" spans="1:9" x14ac:dyDescent="0.3">
      <c r="A27" s="67">
        <v>3</v>
      </c>
      <c r="B27" s="67">
        <v>18154.79745802121</v>
      </c>
      <c r="C27" s="67">
        <v>-1158.7974580212103</v>
      </c>
      <c r="D27" s="66">
        <f>'2021 г.'!T5</f>
        <v>33252</v>
      </c>
      <c r="E27" s="66">
        <f>'2021 г.'!U5</f>
        <v>16996</v>
      </c>
      <c r="F27" s="67">
        <v>18154.79745802121</v>
      </c>
      <c r="G27" s="66">
        <f t="shared" si="0"/>
        <v>-1158.7974580212103</v>
      </c>
      <c r="H27" s="66">
        <f t="shared" si="1"/>
        <v>1158.7974580212103</v>
      </c>
      <c r="I27" s="66">
        <f t="shared" si="2"/>
        <v>1342811.5487164187</v>
      </c>
    </row>
    <row r="28" spans="1:9" x14ac:dyDescent="0.3">
      <c r="A28" s="67">
        <v>4</v>
      </c>
      <c r="B28" s="67">
        <v>20579.069359452431</v>
      </c>
      <c r="C28" s="67">
        <v>-6778.0693594524309</v>
      </c>
      <c r="D28" s="66">
        <f>'2021 г.'!T6</f>
        <v>38582</v>
      </c>
      <c r="E28" s="66">
        <f>'2021 г.'!U6</f>
        <v>13801</v>
      </c>
      <c r="F28" s="67">
        <v>20579.069359452431</v>
      </c>
      <c r="G28" s="66">
        <f t="shared" si="0"/>
        <v>-6778.0693594524309</v>
      </c>
      <c r="H28" s="66">
        <f t="shared" si="1"/>
        <v>6778.0693594524309</v>
      </c>
      <c r="I28" s="66">
        <f t="shared" si="2"/>
        <v>45942224.24154789</v>
      </c>
    </row>
    <row r="29" spans="1:9" x14ac:dyDescent="0.3">
      <c r="A29" s="67">
        <v>5</v>
      </c>
      <c r="B29" s="67">
        <v>18938.023764637452</v>
      </c>
      <c r="C29" s="67">
        <v>-4871.0237646374517</v>
      </c>
      <c r="D29" s="66">
        <f>'2021 г.'!T7</f>
        <v>34974</v>
      </c>
      <c r="E29" s="66">
        <f>'2021 г.'!U7</f>
        <v>14067</v>
      </c>
      <c r="F29" s="67">
        <v>18938.023764637452</v>
      </c>
      <c r="G29" s="66">
        <f t="shared" si="0"/>
        <v>-4871.0237646374517</v>
      </c>
      <c r="H29" s="66">
        <f t="shared" si="1"/>
        <v>4871.0237646374517</v>
      </c>
      <c r="I29" s="66">
        <f t="shared" si="2"/>
        <v>23726872.515662812</v>
      </c>
    </row>
    <row r="30" spans="1:9" x14ac:dyDescent="0.3">
      <c r="A30" s="67">
        <v>6</v>
      </c>
      <c r="B30" s="67">
        <v>12163.707498236578</v>
      </c>
      <c r="C30" s="67">
        <v>2038.2925017634225</v>
      </c>
      <c r="D30" s="66">
        <f>'2021 г.'!T8</f>
        <v>20080</v>
      </c>
      <c r="E30" s="66">
        <f>'2021 г.'!U8</f>
        <v>14202</v>
      </c>
      <c r="F30" s="67">
        <v>12163.707498236578</v>
      </c>
      <c r="G30" s="66">
        <f t="shared" si="0"/>
        <v>2038.2925017634225</v>
      </c>
      <c r="H30" s="66">
        <f t="shared" si="1"/>
        <v>2038.2925017634225</v>
      </c>
      <c r="I30" s="66">
        <f t="shared" si="2"/>
        <v>4154636.3227449916</v>
      </c>
    </row>
    <row r="31" spans="1:9" x14ac:dyDescent="0.3">
      <c r="A31" s="67">
        <v>7</v>
      </c>
      <c r="B31" s="67">
        <v>15765.547871113475</v>
      </c>
      <c r="C31" s="67">
        <v>482.45212888652532</v>
      </c>
      <c r="D31" s="66">
        <f>'2021 г.'!T9</f>
        <v>27999</v>
      </c>
      <c r="E31" s="66">
        <f>'2021 г.'!U9</f>
        <v>16248</v>
      </c>
      <c r="F31" s="67">
        <v>15765.547871113475</v>
      </c>
      <c r="G31" s="66">
        <f t="shared" si="0"/>
        <v>482.45212888652532</v>
      </c>
      <c r="H31" s="66">
        <f t="shared" si="1"/>
        <v>482.45212888652532</v>
      </c>
      <c r="I31" s="66">
        <f t="shared" si="2"/>
        <v>232760.05666714042</v>
      </c>
    </row>
    <row r="32" spans="1:9" x14ac:dyDescent="0.3">
      <c r="A32" s="67">
        <v>8</v>
      </c>
      <c r="B32" s="67">
        <v>32207.387451758368</v>
      </c>
      <c r="C32" s="67">
        <v>5702.6125482416319</v>
      </c>
      <c r="D32" s="66">
        <f>'2021 г.'!T10</f>
        <v>64147.999999999993</v>
      </c>
      <c r="E32" s="66">
        <f>'2021 г.'!U10</f>
        <v>37910</v>
      </c>
      <c r="F32" s="67">
        <v>32207.387451758368</v>
      </c>
      <c r="G32" s="66">
        <f t="shared" si="0"/>
        <v>5702.6125482416319</v>
      </c>
      <c r="H32" s="66">
        <f t="shared" si="1"/>
        <v>5702.6125482416319</v>
      </c>
      <c r="I32" s="66">
        <f t="shared" si="2"/>
        <v>32519789.875362918</v>
      </c>
    </row>
    <row r="33" spans="1:9" x14ac:dyDescent="0.3">
      <c r="A33" s="67">
        <v>9</v>
      </c>
      <c r="B33" s="67">
        <v>14813.122850175954</v>
      </c>
      <c r="C33" s="67">
        <v>2961.8771498240458</v>
      </c>
      <c r="D33" s="66">
        <f>'2021 г.'!T11</f>
        <v>25905</v>
      </c>
      <c r="E33" s="66">
        <f>'2021 г.'!U11</f>
        <v>17775</v>
      </c>
      <c r="F33" s="67">
        <v>14813.122850175954</v>
      </c>
      <c r="G33" s="66">
        <f t="shared" si="0"/>
        <v>2961.8771498240458</v>
      </c>
      <c r="H33" s="66">
        <f t="shared" si="1"/>
        <v>2961.8771498240458</v>
      </c>
      <c r="I33" s="66">
        <f t="shared" si="2"/>
        <v>8772716.2506498136</v>
      </c>
    </row>
    <row r="34" spans="1:9" x14ac:dyDescent="0.3">
      <c r="A34" s="67">
        <v>10</v>
      </c>
      <c r="B34" s="67">
        <v>23770.648333625584</v>
      </c>
      <c r="C34" s="67">
        <v>5781.3516663744158</v>
      </c>
      <c r="D34" s="66">
        <f>'2021 г.'!T12</f>
        <v>45599</v>
      </c>
      <c r="E34" s="66">
        <f>'2021 г.'!U12</f>
        <v>29552</v>
      </c>
      <c r="F34" s="67">
        <v>23770.648333625584</v>
      </c>
      <c r="G34" s="66">
        <f t="shared" si="0"/>
        <v>5781.3516663744158</v>
      </c>
      <c r="H34" s="66">
        <f t="shared" si="1"/>
        <v>5781.3516663744158</v>
      </c>
      <c r="I34" s="66">
        <f t="shared" si="2"/>
        <v>33424027.090290233</v>
      </c>
    </row>
    <row r="35" spans="1:9" x14ac:dyDescent="0.3">
      <c r="A35" s="67">
        <v>11</v>
      </c>
      <c r="B35" s="67">
        <v>4935.9204840445364</v>
      </c>
      <c r="C35" s="67">
        <v>-1612.9204840445364</v>
      </c>
      <c r="D35" s="66">
        <f>'2021 г.'!T13</f>
        <v>4189</v>
      </c>
      <c r="E35" s="66">
        <f>'2021 г.'!U13</f>
        <v>3323</v>
      </c>
      <c r="F35" s="67">
        <v>4935.9204840445364</v>
      </c>
      <c r="G35" s="66">
        <f t="shared" si="0"/>
        <v>-1612.9204840445364</v>
      </c>
      <c r="H35" s="66">
        <f t="shared" si="1"/>
        <v>1612.9204840445364</v>
      </c>
      <c r="I35" s="66">
        <f t="shared" si="2"/>
        <v>2601512.4878504616</v>
      </c>
    </row>
    <row r="36" spans="1:9" x14ac:dyDescent="0.3">
      <c r="A36" s="67">
        <v>12</v>
      </c>
      <c r="B36" s="67">
        <v>24553.874640241826</v>
      </c>
      <c r="C36" s="67">
        <v>-2846.8746402418255</v>
      </c>
      <c r="D36" s="66">
        <f>'2021 г.'!T14</f>
        <v>47321</v>
      </c>
      <c r="E36" s="66">
        <f>'2021 г.'!U14</f>
        <v>21707</v>
      </c>
      <c r="F36" s="67">
        <v>24553.874640241826</v>
      </c>
      <c r="G36" s="66">
        <f t="shared" si="0"/>
        <v>-2846.8746402418255</v>
      </c>
      <c r="H36" s="66">
        <f t="shared" si="1"/>
        <v>2846.8746402418255</v>
      </c>
      <c r="I36" s="66">
        <f t="shared" si="2"/>
        <v>8104695.2172520235</v>
      </c>
    </row>
    <row r="37" spans="1:9" x14ac:dyDescent="0.3">
      <c r="A37" s="67">
        <v>13</v>
      </c>
      <c r="B37" s="67">
        <v>13268.95716436751</v>
      </c>
      <c r="C37" s="67">
        <v>-1204.9571643675099</v>
      </c>
      <c r="D37" s="66">
        <f>'2021 г.'!T15</f>
        <v>22510</v>
      </c>
      <c r="E37" s="66">
        <f>'2021 г.'!U15</f>
        <v>12064</v>
      </c>
      <c r="F37" s="67">
        <v>13268.95716436751</v>
      </c>
      <c r="G37" s="66">
        <f t="shared" si="0"/>
        <v>-1204.9571643675099</v>
      </c>
      <c r="H37" s="66">
        <f t="shared" si="1"/>
        <v>1204.9571643675099</v>
      </c>
      <c r="I37" s="66">
        <f t="shared" si="2"/>
        <v>1451921.7679605903</v>
      </c>
    </row>
    <row r="38" spans="1:9" x14ac:dyDescent="0.3">
      <c r="A38" s="67">
        <v>14</v>
      </c>
      <c r="B38" s="67">
        <v>34312.365005196218</v>
      </c>
      <c r="C38" s="67">
        <v>5050.6349948037823</v>
      </c>
      <c r="D38" s="66">
        <f>'2021 г.'!T16</f>
        <v>68776</v>
      </c>
      <c r="E38" s="66">
        <f>'2021 г.'!U16</f>
        <v>39363</v>
      </c>
      <c r="F38" s="67">
        <v>34312.365005196218</v>
      </c>
      <c r="G38" s="66">
        <f t="shared" si="0"/>
        <v>5050.6349948037823</v>
      </c>
      <c r="H38" s="66">
        <f t="shared" si="1"/>
        <v>5050.6349948037823</v>
      </c>
      <c r="I38" s="66">
        <f t="shared" si="2"/>
        <v>25508913.850736603</v>
      </c>
    </row>
    <row r="39" spans="1:9" x14ac:dyDescent="0.3">
      <c r="A39" s="67">
        <v>15</v>
      </c>
      <c r="B39" s="67">
        <v>27990.154980825857</v>
      </c>
      <c r="C39" s="67">
        <v>-20433.154980825857</v>
      </c>
      <c r="D39" s="66">
        <f>'2021 г.'!T17</f>
        <v>54876</v>
      </c>
      <c r="E39" s="66">
        <f>'2021 г.'!U17</f>
        <v>7557</v>
      </c>
      <c r="F39" s="67">
        <v>27990.154980825857</v>
      </c>
      <c r="G39" s="66">
        <f t="shared" si="0"/>
        <v>-20433.154980825857</v>
      </c>
      <c r="H39" s="66">
        <f t="shared" si="1"/>
        <v>20433.154980825857</v>
      </c>
      <c r="I39" s="66">
        <f t="shared" si="2"/>
        <v>417513822.47044855</v>
      </c>
    </row>
    <row r="40" spans="1:9" x14ac:dyDescent="0.3">
      <c r="A40" s="67">
        <v>16</v>
      </c>
      <c r="B40" s="67">
        <v>15358.925154438144</v>
      </c>
      <c r="C40" s="67">
        <v>-2089.9251544381441</v>
      </c>
      <c r="D40" s="66">
        <f>'2021 г.'!T18</f>
        <v>27105</v>
      </c>
      <c r="E40" s="66">
        <f>'2021 г.'!U18</f>
        <v>13269</v>
      </c>
      <c r="F40" s="67">
        <v>15358.925154438144</v>
      </c>
      <c r="G40" s="66">
        <f t="shared" si="0"/>
        <v>-2089.9251544381441</v>
      </c>
      <c r="H40" s="66">
        <f t="shared" si="1"/>
        <v>2089.9251544381441</v>
      </c>
      <c r="I40" s="66">
        <f t="shared" si="2"/>
        <v>4367787.1511533009</v>
      </c>
    </row>
    <row r="41" spans="1:9" x14ac:dyDescent="0.3">
      <c r="A41" s="67">
        <v>17</v>
      </c>
      <c r="B41" s="67">
        <v>13306.25365515876</v>
      </c>
      <c r="C41" s="67">
        <v>2654.74634484124</v>
      </c>
      <c r="D41" s="66">
        <f>'2021 г.'!T19</f>
        <v>22592</v>
      </c>
      <c r="E41" s="66">
        <f>'2021 г.'!U19</f>
        <v>15961</v>
      </c>
      <c r="F41" s="67">
        <v>13306.25365515876</v>
      </c>
      <c r="G41" s="66">
        <f t="shared" si="0"/>
        <v>2654.74634484124</v>
      </c>
      <c r="H41" s="66">
        <f t="shared" si="1"/>
        <v>2654.74634484124</v>
      </c>
      <c r="I41" s="66">
        <f t="shared" si="2"/>
        <v>7047678.1554479236</v>
      </c>
    </row>
    <row r="42" spans="1:9" x14ac:dyDescent="0.3">
      <c r="A42" s="67">
        <v>18</v>
      </c>
      <c r="B42" s="67">
        <v>5686.8534876585982</v>
      </c>
      <c r="C42" s="67">
        <v>222.14651234140183</v>
      </c>
      <c r="D42" s="66">
        <f>'2021 г.'!T20</f>
        <v>5840</v>
      </c>
      <c r="E42" s="66">
        <f>'2021 г.'!U20</f>
        <v>5909</v>
      </c>
      <c r="F42" s="67">
        <v>5686.8534876585982</v>
      </c>
      <c r="G42" s="66">
        <f t="shared" si="0"/>
        <v>222.14651234140183</v>
      </c>
      <c r="H42" s="66">
        <f t="shared" si="1"/>
        <v>222.14651234140183</v>
      </c>
      <c r="I42" s="66">
        <f t="shared" si="2"/>
        <v>49349.072945448599</v>
      </c>
    </row>
    <row r="43" spans="1:9" x14ac:dyDescent="0.3">
      <c r="A43" s="67">
        <v>19</v>
      </c>
      <c r="B43" s="67">
        <v>15049.637182022903</v>
      </c>
      <c r="C43" s="67">
        <v>-10704.637182022903</v>
      </c>
      <c r="D43" s="66">
        <f>'2021 г.'!T21</f>
        <v>26425</v>
      </c>
      <c r="E43" s="66">
        <f>'2021 г.'!U21</f>
        <v>4345</v>
      </c>
      <c r="F43" s="67">
        <v>15049.637182022903</v>
      </c>
      <c r="G43" s="66">
        <f t="shared" si="0"/>
        <v>-10704.637182022903</v>
      </c>
      <c r="H43" s="66">
        <f t="shared" si="1"/>
        <v>10704.637182022903</v>
      </c>
      <c r="I43" s="66">
        <f t="shared" si="2"/>
        <v>114589257.19874725</v>
      </c>
    </row>
    <row r="44" spans="1:9" x14ac:dyDescent="0.3">
      <c r="A44" s="67">
        <v>20</v>
      </c>
      <c r="B44" s="67">
        <v>34210.481908400609</v>
      </c>
      <c r="C44" s="67">
        <v>16254.518091599391</v>
      </c>
      <c r="D44" s="66">
        <f>'2021 г.'!T22</f>
        <v>68552</v>
      </c>
      <c r="E44" s="66">
        <f>'2021 г.'!U22</f>
        <v>50465</v>
      </c>
      <c r="F44" s="67">
        <v>34210.481908400609</v>
      </c>
      <c r="G44" s="66">
        <f t="shared" si="0"/>
        <v>16254.518091599391</v>
      </c>
      <c r="H44" s="66">
        <f t="shared" si="1"/>
        <v>16254.518091599391</v>
      </c>
      <c r="I44" s="66">
        <f t="shared" si="2"/>
        <v>264209358.39013192</v>
      </c>
    </row>
    <row r="45" spans="1:9" x14ac:dyDescent="0.3">
      <c r="A45" s="67">
        <v>21</v>
      </c>
      <c r="B45" s="67">
        <v>16241.760381582235</v>
      </c>
      <c r="C45" s="67">
        <v>2792.2396184177651</v>
      </c>
      <c r="D45" s="66">
        <f>'2021 г.'!T23</f>
        <v>29046</v>
      </c>
      <c r="E45" s="66">
        <f>'2021 г.'!U23</f>
        <v>19034</v>
      </c>
      <c r="F45" s="67">
        <v>16241.760381582235</v>
      </c>
      <c r="G45" s="66">
        <f t="shared" si="0"/>
        <v>2792.2396184177651</v>
      </c>
      <c r="H45" s="66">
        <f t="shared" si="1"/>
        <v>2792.2396184177651</v>
      </c>
      <c r="I45" s="66">
        <f t="shared" si="2"/>
        <v>7796602.0866617868</v>
      </c>
    </row>
    <row r="46" spans="1:9" x14ac:dyDescent="0.3">
      <c r="A46" s="67">
        <v>22</v>
      </c>
      <c r="B46" s="67">
        <v>8672.3920919727734</v>
      </c>
      <c r="C46" s="67">
        <v>254.60790802722659</v>
      </c>
      <c r="D46" s="66">
        <f>'2021 г.'!T24</f>
        <v>12404</v>
      </c>
      <c r="E46" s="66">
        <f>'2021 г.'!U24</f>
        <v>8927</v>
      </c>
      <c r="F46" s="67">
        <v>8672.3920919727734</v>
      </c>
      <c r="G46" s="66">
        <f t="shared" si="0"/>
        <v>254.60790802722659</v>
      </c>
      <c r="H46" s="66">
        <f t="shared" si="1"/>
        <v>254.60790802722659</v>
      </c>
      <c r="I46" s="66">
        <f t="shared" si="2"/>
        <v>64825.186830000675</v>
      </c>
    </row>
    <row r="47" spans="1:9" x14ac:dyDescent="0.3">
      <c r="A47" s="67">
        <v>23</v>
      </c>
      <c r="B47" s="67">
        <v>26389.134888323435</v>
      </c>
      <c r="C47" s="67">
        <v>20637.865111676565</v>
      </c>
      <c r="D47" s="66">
        <f>'2021 г.'!T25</f>
        <v>51356</v>
      </c>
      <c r="E47" s="66">
        <f>'2021 г.'!U25</f>
        <v>47027</v>
      </c>
      <c r="F47" s="67">
        <v>26389.134888323435</v>
      </c>
      <c r="G47" s="66">
        <f t="shared" si="0"/>
        <v>20637.865111676565</v>
      </c>
      <c r="H47" s="66">
        <f t="shared" si="1"/>
        <v>20637.865111676565</v>
      </c>
      <c r="I47" s="66">
        <f t="shared" si="2"/>
        <v>425921476.36775678</v>
      </c>
    </row>
    <row r="48" spans="1:9" x14ac:dyDescent="0.3">
      <c r="A48" s="67">
        <v>24</v>
      </c>
      <c r="B48" s="67">
        <v>15131.507527662232</v>
      </c>
      <c r="C48" s="67">
        <v>-366.50752766223195</v>
      </c>
      <c r="D48" s="66">
        <f>'2021 г.'!T26</f>
        <v>26605</v>
      </c>
      <c r="E48" s="66">
        <f>'2021 г.'!U26</f>
        <v>14765</v>
      </c>
      <c r="F48" s="67">
        <v>15131.507527662232</v>
      </c>
      <c r="G48" s="66">
        <f t="shared" si="0"/>
        <v>-366.50752766223195</v>
      </c>
      <c r="H48" s="66">
        <f t="shared" si="1"/>
        <v>366.50752766223195</v>
      </c>
      <c r="I48" s="66">
        <f t="shared" si="2"/>
        <v>134327.76783308171</v>
      </c>
    </row>
    <row r="49" spans="1:9" x14ac:dyDescent="0.3">
      <c r="A49" s="67">
        <v>25</v>
      </c>
      <c r="B49" s="67">
        <v>13180.264289924904</v>
      </c>
      <c r="C49" s="67">
        <v>357.73571007509599</v>
      </c>
      <c r="D49" s="66">
        <f>'2021 г.'!T27</f>
        <v>22315</v>
      </c>
      <c r="E49" s="66">
        <f>'2021 г.'!U27</f>
        <v>13538</v>
      </c>
      <c r="F49" s="67">
        <v>13180.264289924904</v>
      </c>
      <c r="G49" s="66">
        <f t="shared" si="0"/>
        <v>357.73571007509599</v>
      </c>
      <c r="H49" s="66">
        <f t="shared" si="1"/>
        <v>357.73571007509599</v>
      </c>
      <c r="I49" s="66">
        <f t="shared" si="2"/>
        <v>127974.83826293313</v>
      </c>
    </row>
    <row r="50" spans="1:9" x14ac:dyDescent="0.3">
      <c r="A50" s="67">
        <v>26</v>
      </c>
      <c r="B50" s="67">
        <v>21078.933303105885</v>
      </c>
      <c r="C50" s="67">
        <v>6013.066696894115</v>
      </c>
      <c r="D50" s="66">
        <f>'2021 г.'!T28</f>
        <v>39681</v>
      </c>
      <c r="E50" s="66">
        <f>'2021 г.'!U28</f>
        <v>27092</v>
      </c>
      <c r="F50" s="67">
        <v>21078.933303105885</v>
      </c>
      <c r="G50" s="66">
        <f t="shared" si="0"/>
        <v>6013.066696894115</v>
      </c>
      <c r="H50" s="66">
        <f t="shared" si="1"/>
        <v>6013.066696894115</v>
      </c>
      <c r="I50" s="66">
        <f t="shared" si="2"/>
        <v>36156971.101297103</v>
      </c>
    </row>
    <row r="51" spans="1:9" x14ac:dyDescent="0.3">
      <c r="A51" s="67">
        <v>27</v>
      </c>
      <c r="B51" s="67">
        <v>14908.183418168286</v>
      </c>
      <c r="C51" s="67">
        <v>-1835.1834181682862</v>
      </c>
      <c r="D51" s="66">
        <f>'2021 г.'!T29</f>
        <v>26114</v>
      </c>
      <c r="E51" s="66">
        <f>'2021 г.'!U29</f>
        <v>13073</v>
      </c>
      <c r="F51" s="67">
        <v>14908.183418168286</v>
      </c>
      <c r="G51" s="66">
        <f t="shared" si="0"/>
        <v>-1835.1834181682862</v>
      </c>
      <c r="H51" s="66">
        <f t="shared" si="1"/>
        <v>1835.1834181682862</v>
      </c>
      <c r="I51" s="66">
        <f t="shared" si="2"/>
        <v>3367898.1783198346</v>
      </c>
    </row>
    <row r="52" spans="1:9" x14ac:dyDescent="0.3">
      <c r="A52" s="67">
        <v>28</v>
      </c>
      <c r="B52" s="67">
        <v>4977.765327371304</v>
      </c>
      <c r="C52" s="67">
        <v>-2415.765327371304</v>
      </c>
      <c r="D52" s="66">
        <f>'2021 г.'!T30</f>
        <v>4281</v>
      </c>
      <c r="E52" s="66">
        <f>'2021 г.'!U30</f>
        <v>2562</v>
      </c>
      <c r="F52" s="67">
        <v>4977.765327371304</v>
      </c>
      <c r="G52" s="66">
        <f t="shared" si="0"/>
        <v>-2415.765327371304</v>
      </c>
      <c r="H52" s="66">
        <f t="shared" si="1"/>
        <v>2415.765327371304</v>
      </c>
      <c r="I52" s="66">
        <f t="shared" si="2"/>
        <v>5835922.1169293839</v>
      </c>
    </row>
    <row r="53" spans="1:9" x14ac:dyDescent="0.3">
      <c r="A53" s="67">
        <v>29</v>
      </c>
      <c r="B53" s="67">
        <v>13088.387568707436</v>
      </c>
      <c r="C53" s="67">
        <v>-992.387568707436</v>
      </c>
      <c r="D53" s="66">
        <f>'2021 г.'!T31</f>
        <v>22113</v>
      </c>
      <c r="E53" s="66">
        <f>'2021 г.'!U31</f>
        <v>12096</v>
      </c>
      <c r="F53" s="67">
        <v>13088.387568707436</v>
      </c>
      <c r="G53" s="66">
        <f t="shared" si="0"/>
        <v>-992.387568707436</v>
      </c>
      <c r="H53" s="66">
        <f t="shared" si="1"/>
        <v>992.387568707436</v>
      </c>
      <c r="I53" s="66">
        <f t="shared" si="2"/>
        <v>984833.08652505605</v>
      </c>
    </row>
    <row r="54" spans="1:9" x14ac:dyDescent="0.3">
      <c r="A54" s="67">
        <v>30</v>
      </c>
      <c r="B54" s="67">
        <v>3726.5135448502356</v>
      </c>
      <c r="C54" s="67">
        <v>-2874.5135448502356</v>
      </c>
      <c r="D54" s="66">
        <f>'2021 г.'!T32</f>
        <v>1530</v>
      </c>
      <c r="E54" s="66">
        <f>'2021 г.'!U32</f>
        <v>852</v>
      </c>
      <c r="F54" s="67">
        <v>3726.5135448502356</v>
      </c>
      <c r="G54" s="66">
        <f t="shared" si="0"/>
        <v>-2874.5135448502356</v>
      </c>
      <c r="H54" s="66">
        <f t="shared" si="1"/>
        <v>2874.5135448502356</v>
      </c>
      <c r="I54" s="66">
        <f t="shared" si="2"/>
        <v>8262828.1195274675</v>
      </c>
    </row>
    <row r="55" spans="1:9" x14ac:dyDescent="0.3">
      <c r="A55" s="67">
        <v>31</v>
      </c>
      <c r="B55" s="67">
        <v>35913.839932952193</v>
      </c>
      <c r="C55" s="67">
        <v>4616.1600670478074</v>
      </c>
      <c r="D55" s="66">
        <f>'2021 г.'!T33</f>
        <v>72297</v>
      </c>
      <c r="E55" s="66">
        <f>'2021 г.'!U33</f>
        <v>40530</v>
      </c>
      <c r="F55" s="67">
        <v>35913.839932952193</v>
      </c>
      <c r="G55" s="66">
        <f t="shared" si="0"/>
        <v>4616.1600670478074</v>
      </c>
      <c r="H55" s="66">
        <f t="shared" si="1"/>
        <v>4616.1600670478074</v>
      </c>
      <c r="I55" s="66">
        <f t="shared" si="2"/>
        <v>21308933.764606819</v>
      </c>
    </row>
    <row r="56" spans="1:9" x14ac:dyDescent="0.3">
      <c r="A56" s="67">
        <v>32</v>
      </c>
      <c r="B56" s="67">
        <v>8575.5121829662348</v>
      </c>
      <c r="C56" s="67">
        <v>2054.4878170337652</v>
      </c>
      <c r="D56" s="66">
        <f>'2021 г.'!T34</f>
        <v>12191</v>
      </c>
      <c r="E56" s="66">
        <f>'2021 г.'!U34</f>
        <v>10630</v>
      </c>
      <c r="F56" s="67">
        <v>8575.5121829662348</v>
      </c>
      <c r="G56" s="66">
        <f t="shared" si="0"/>
        <v>2054.4878170337652</v>
      </c>
      <c r="H56" s="66">
        <f t="shared" si="1"/>
        <v>2054.4878170337652</v>
      </c>
      <c r="I56" s="66">
        <f t="shared" si="2"/>
        <v>4220920.190340166</v>
      </c>
    </row>
    <row r="57" spans="1:9" x14ac:dyDescent="0.3">
      <c r="A57" s="67">
        <v>33</v>
      </c>
      <c r="B57" s="67">
        <v>42633.575968926845</v>
      </c>
      <c r="C57" s="67">
        <v>3829.4240310731548</v>
      </c>
      <c r="D57" s="66">
        <f>'2021 г.'!T35</f>
        <v>87071</v>
      </c>
      <c r="E57" s="66">
        <f>'2021 г.'!U35</f>
        <v>46463</v>
      </c>
      <c r="F57" s="67">
        <v>42633.575968926845</v>
      </c>
      <c r="G57" s="66">
        <f t="shared" si="0"/>
        <v>3829.4240310731548</v>
      </c>
      <c r="H57" s="66">
        <f t="shared" si="1"/>
        <v>3829.4240310731548</v>
      </c>
      <c r="I57" s="66">
        <f t="shared" si="2"/>
        <v>14664488.40976057</v>
      </c>
    </row>
    <row r="58" spans="1:9" x14ac:dyDescent="0.3">
      <c r="A58" s="67">
        <v>34</v>
      </c>
      <c r="B58" s="67">
        <v>32196.926240926681</v>
      </c>
      <c r="C58" s="67">
        <v>-8371.9262409266812</v>
      </c>
      <c r="D58" s="66">
        <f>'2021 г.'!T36</f>
        <v>64125</v>
      </c>
      <c r="E58" s="66">
        <f>'2021 г.'!U36</f>
        <v>23825</v>
      </c>
      <c r="F58" s="67">
        <v>32196.926240926681</v>
      </c>
      <c r="G58" s="66">
        <f t="shared" si="0"/>
        <v>-8371.9262409266812</v>
      </c>
      <c r="H58" s="66">
        <f t="shared" si="1"/>
        <v>8371.9262409266812</v>
      </c>
      <c r="I58" s="66">
        <f t="shared" si="2"/>
        <v>70089148.983516753</v>
      </c>
    </row>
    <row r="59" spans="1:9" x14ac:dyDescent="0.3">
      <c r="A59" s="67">
        <v>35</v>
      </c>
      <c r="B59" s="67">
        <v>22659.940644452028</v>
      </c>
      <c r="C59" s="67">
        <v>2329.0593555479718</v>
      </c>
      <c r="D59" s="66">
        <f>'2021 г.'!T37</f>
        <v>43157</v>
      </c>
      <c r="E59" s="66">
        <f>'2021 г.'!U37</f>
        <v>24989</v>
      </c>
      <c r="F59" s="67">
        <v>22659.940644452028</v>
      </c>
      <c r="G59" s="66">
        <f t="shared" si="0"/>
        <v>2329.0593555479718</v>
      </c>
      <c r="H59" s="66">
        <f t="shared" si="1"/>
        <v>2329.0593555479718</v>
      </c>
      <c r="I59" s="66">
        <f t="shared" si="2"/>
        <v>5424517.481665534</v>
      </c>
    </row>
    <row r="60" spans="1:9" x14ac:dyDescent="0.3">
      <c r="A60" s="67">
        <v>36</v>
      </c>
      <c r="B60" s="67">
        <v>10461.259144192099</v>
      </c>
      <c r="C60" s="67">
        <v>-2310.2591441920995</v>
      </c>
      <c r="D60" s="66">
        <f>'2021 г.'!T38</f>
        <v>16337</v>
      </c>
      <c r="E60" s="66">
        <f>'2021 г.'!U38</f>
        <v>8151</v>
      </c>
      <c r="F60" s="67">
        <v>10461.259144192099</v>
      </c>
      <c r="G60" s="66">
        <f t="shared" si="0"/>
        <v>-2310.2591441920995</v>
      </c>
      <c r="H60" s="66">
        <f t="shared" si="1"/>
        <v>2310.2591441920995</v>
      </c>
      <c r="I60" s="66">
        <f t="shared" si="2"/>
        <v>5337297.3133232119</v>
      </c>
    </row>
    <row r="61" spans="1:9" x14ac:dyDescent="0.3">
      <c r="A61" s="67">
        <v>37</v>
      </c>
      <c r="B61" s="67">
        <v>15739.167426407468</v>
      </c>
      <c r="C61" s="67">
        <v>-2269.1674264074682</v>
      </c>
      <c r="D61" s="66">
        <f>'2021 г.'!T39</f>
        <v>27941</v>
      </c>
      <c r="E61" s="66">
        <f>'2021 г.'!U39</f>
        <v>13470</v>
      </c>
      <c r="F61" s="67">
        <v>15739.167426407468</v>
      </c>
      <c r="G61" s="66">
        <f t="shared" si="0"/>
        <v>-2269.1674264074682</v>
      </c>
      <c r="H61" s="66">
        <f t="shared" si="1"/>
        <v>2269.1674264074682</v>
      </c>
      <c r="I61" s="66">
        <f t="shared" si="2"/>
        <v>5149120.8090686928</v>
      </c>
    </row>
    <row r="62" spans="1:9" x14ac:dyDescent="0.3">
      <c r="A62" s="67">
        <v>38</v>
      </c>
      <c r="B62" s="67">
        <v>28660.127309307696</v>
      </c>
      <c r="C62" s="67">
        <v>11933.872690692304</v>
      </c>
      <c r="D62" s="66">
        <f>'2021 г.'!T40</f>
        <v>56349</v>
      </c>
      <c r="E62" s="66">
        <f>'2021 г.'!U40</f>
        <v>40594</v>
      </c>
      <c r="F62" s="67">
        <v>28660.127309307696</v>
      </c>
      <c r="G62" s="66">
        <f t="shared" si="0"/>
        <v>11933.872690692304</v>
      </c>
      <c r="H62" s="66">
        <f t="shared" si="1"/>
        <v>11933.872690692304</v>
      </c>
      <c r="I62" s="66">
        <f t="shared" si="2"/>
        <v>142417317.39765158</v>
      </c>
    </row>
    <row r="63" spans="1:9" x14ac:dyDescent="0.3">
      <c r="A63" s="67">
        <v>39</v>
      </c>
      <c r="B63" s="67">
        <v>21593.806810126553</v>
      </c>
      <c r="C63" s="67">
        <v>13504.193189873447</v>
      </c>
      <c r="D63" s="66">
        <f>'2021 г.'!T41</f>
        <v>40813</v>
      </c>
      <c r="E63" s="66">
        <f>'2021 г.'!U41</f>
        <v>35098</v>
      </c>
      <c r="F63" s="67">
        <v>21593.806810126553</v>
      </c>
      <c r="G63" s="66">
        <f t="shared" si="0"/>
        <v>13504.193189873447</v>
      </c>
      <c r="H63" s="66">
        <f t="shared" si="1"/>
        <v>13504.193189873447</v>
      </c>
      <c r="I63" s="66">
        <f t="shared" si="2"/>
        <v>182363233.70942441</v>
      </c>
    </row>
    <row r="64" spans="1:9" x14ac:dyDescent="0.3">
      <c r="A64" s="67">
        <v>40</v>
      </c>
      <c r="B64" s="67">
        <v>9704.8681175354141</v>
      </c>
      <c r="C64" s="67">
        <v>-1327.8681175354141</v>
      </c>
      <c r="D64" s="66">
        <f>'2021 г.'!T42</f>
        <v>14674</v>
      </c>
      <c r="E64" s="66">
        <f>'2021 г.'!U42</f>
        <v>8377</v>
      </c>
      <c r="F64" s="67">
        <v>9704.8681175354141</v>
      </c>
      <c r="G64" s="66">
        <f t="shared" si="0"/>
        <v>-1327.8681175354141</v>
      </c>
      <c r="H64" s="66">
        <f t="shared" si="1"/>
        <v>1327.8681175354141</v>
      </c>
      <c r="I64" s="66">
        <f t="shared" si="2"/>
        <v>1763233.7375670441</v>
      </c>
    </row>
    <row r="65" spans="1:9" x14ac:dyDescent="0.3">
      <c r="A65" s="67">
        <v>41</v>
      </c>
      <c r="B65" s="67">
        <v>11131.686307927488</v>
      </c>
      <c r="C65" s="67">
        <v>-6635.6863079274881</v>
      </c>
      <c r="D65" s="66">
        <f>'2021 г.'!T43</f>
        <v>17811</v>
      </c>
      <c r="E65" s="66">
        <f>'2021 г.'!U43</f>
        <v>4496</v>
      </c>
      <c r="F65" s="67">
        <v>11131.686307927488</v>
      </c>
      <c r="G65" s="66">
        <f t="shared" si="0"/>
        <v>-6635.6863079274881</v>
      </c>
      <c r="H65" s="66">
        <f t="shared" si="1"/>
        <v>6635.6863079274881</v>
      </c>
      <c r="I65" s="66">
        <f t="shared" si="2"/>
        <v>44032332.777216338</v>
      </c>
    </row>
    <row r="66" spans="1:9" x14ac:dyDescent="0.3">
      <c r="A66" s="67">
        <v>42</v>
      </c>
      <c r="B66" s="67">
        <v>8163.4314432482824</v>
      </c>
      <c r="C66" s="67">
        <v>-3401.4314432482824</v>
      </c>
      <c r="D66" s="66">
        <f>'2021 г.'!T44</f>
        <v>11285</v>
      </c>
      <c r="E66" s="66">
        <f>'2021 г.'!U44</f>
        <v>4762</v>
      </c>
      <c r="F66" s="67">
        <v>8163.4314432482824</v>
      </c>
      <c r="G66" s="66">
        <f t="shared" si="0"/>
        <v>-3401.4314432482824</v>
      </c>
      <c r="H66" s="66">
        <f t="shared" si="1"/>
        <v>3401.4314432482824</v>
      </c>
      <c r="I66" s="66">
        <f t="shared" si="2"/>
        <v>11569735.863118093</v>
      </c>
    </row>
    <row r="67" spans="1:9" x14ac:dyDescent="0.3">
      <c r="A67" s="67">
        <v>43</v>
      </c>
      <c r="B67" s="67">
        <v>41822.149876590382</v>
      </c>
      <c r="C67" s="67">
        <v>10614.850123409618</v>
      </c>
      <c r="D67" s="66">
        <f>'2021 г.'!T45</f>
        <v>85287</v>
      </c>
      <c r="E67" s="66">
        <f>'2021 г.'!U45</f>
        <v>52437</v>
      </c>
      <c r="F67" s="67">
        <v>41822.149876590382</v>
      </c>
      <c r="G67" s="66">
        <f t="shared" si="0"/>
        <v>10614.850123409618</v>
      </c>
      <c r="H67" s="66">
        <f t="shared" si="1"/>
        <v>10614.850123409618</v>
      </c>
      <c r="I67" s="66">
        <f t="shared" si="2"/>
        <v>112675043.14244919</v>
      </c>
    </row>
    <row r="68" spans="1:9" x14ac:dyDescent="0.3">
      <c r="A68" s="67">
        <v>44</v>
      </c>
      <c r="B68" s="67">
        <v>21760.73134818007</v>
      </c>
      <c r="C68" s="67">
        <v>-990.7313481800702</v>
      </c>
      <c r="D68" s="66">
        <f>'2021 г.'!T46</f>
        <v>41180</v>
      </c>
      <c r="E68" s="66">
        <f>'2021 г.'!U46</f>
        <v>20770</v>
      </c>
      <c r="F68" s="67">
        <v>21760.73134818007</v>
      </c>
      <c r="G68" s="66">
        <f t="shared" si="0"/>
        <v>-990.7313481800702</v>
      </c>
      <c r="H68" s="66">
        <f t="shared" si="1"/>
        <v>990.7313481800702</v>
      </c>
      <c r="I68" s="66">
        <f t="shared" si="2"/>
        <v>981548.60426669952</v>
      </c>
    </row>
    <row r="69" spans="1:9" x14ac:dyDescent="0.3">
      <c r="A69" s="67">
        <v>45</v>
      </c>
      <c r="B69" s="67">
        <v>41098.506988189431</v>
      </c>
      <c r="C69" s="67">
        <v>-38995.506988189431</v>
      </c>
      <c r="D69" s="66">
        <f>'2021 г.'!T47</f>
        <v>83696</v>
      </c>
      <c r="E69" s="66">
        <f>'2021 г.'!U47</f>
        <v>2103</v>
      </c>
      <c r="F69" s="67">
        <v>41098.506988189431</v>
      </c>
      <c r="G69" s="66">
        <f t="shared" si="0"/>
        <v>-38995.506988189431</v>
      </c>
      <c r="H69" s="66">
        <f t="shared" si="1"/>
        <v>38995.506988189431</v>
      </c>
      <c r="I69" s="66">
        <f t="shared" si="2"/>
        <v>1520649565.2659307</v>
      </c>
    </row>
    <row r="70" spans="1:9" x14ac:dyDescent="0.3">
      <c r="A70" s="67">
        <v>46</v>
      </c>
      <c r="B70" s="67">
        <v>8493.6418373269062</v>
      </c>
      <c r="C70" s="67">
        <v>-5553.6418373269062</v>
      </c>
      <c r="D70" s="66">
        <f>'2021 г.'!T48</f>
        <v>12011</v>
      </c>
      <c r="E70" s="66">
        <f>'2021 г.'!U48</f>
        <v>2940</v>
      </c>
      <c r="F70" s="67">
        <v>8493.6418373269062</v>
      </c>
      <c r="G70" s="66">
        <f t="shared" si="0"/>
        <v>-5553.6418373269062</v>
      </c>
      <c r="H70" s="66">
        <f t="shared" si="1"/>
        <v>5553.6418373269062</v>
      </c>
      <c r="I70" s="66">
        <f t="shared" si="2"/>
        <v>30842937.657307774</v>
      </c>
    </row>
    <row r="71" spans="1:9" x14ac:dyDescent="0.3">
      <c r="A71" s="67">
        <v>47</v>
      </c>
      <c r="B71" s="67">
        <v>11059.367502612748</v>
      </c>
      <c r="C71" s="67">
        <v>2610.6324973872524</v>
      </c>
      <c r="D71" s="66">
        <f>'2021 г.'!T49</f>
        <v>17652</v>
      </c>
      <c r="E71" s="66">
        <f>'2021 г.'!U49</f>
        <v>13670</v>
      </c>
      <c r="F71" s="67">
        <v>11059.367502612748</v>
      </c>
      <c r="G71" s="66">
        <f t="shared" si="0"/>
        <v>2610.6324973872524</v>
      </c>
      <c r="H71" s="66">
        <f t="shared" si="1"/>
        <v>2610.6324973872524</v>
      </c>
      <c r="I71" s="66">
        <f t="shared" si="2"/>
        <v>6815402.0364144025</v>
      </c>
    </row>
    <row r="72" spans="1:9" x14ac:dyDescent="0.3">
      <c r="A72" s="67">
        <v>48</v>
      </c>
      <c r="B72" s="67">
        <v>15256.132387135431</v>
      </c>
      <c r="C72" s="67">
        <v>-230.13238713543069</v>
      </c>
      <c r="D72" s="66">
        <f>'2021 г.'!T50</f>
        <v>26879</v>
      </c>
      <c r="E72" s="66">
        <f>'2021 г.'!U50</f>
        <v>15026</v>
      </c>
      <c r="F72" s="67">
        <v>15256.132387135431</v>
      </c>
      <c r="G72" s="66">
        <f t="shared" si="0"/>
        <v>-230.13238713543069</v>
      </c>
      <c r="H72" s="66">
        <f t="shared" si="1"/>
        <v>230.13238713543069</v>
      </c>
      <c r="I72" s="66">
        <f t="shared" si="2"/>
        <v>52960.915608651747</v>
      </c>
    </row>
    <row r="73" spans="1:9" x14ac:dyDescent="0.3">
      <c r="A73" s="67">
        <v>49</v>
      </c>
      <c r="B73" s="67">
        <v>27701.334594820448</v>
      </c>
      <c r="C73" s="67">
        <v>-6974.3345948204478</v>
      </c>
      <c r="D73" s="66">
        <f>'2021 г.'!T51</f>
        <v>54241</v>
      </c>
      <c r="E73" s="66">
        <f>'2021 г.'!U51</f>
        <v>20727</v>
      </c>
      <c r="F73" s="67">
        <v>27701.334594820448</v>
      </c>
      <c r="G73" s="66">
        <f t="shared" si="0"/>
        <v>-6974.3345948204478</v>
      </c>
      <c r="H73" s="66">
        <f t="shared" si="1"/>
        <v>6974.3345948204478</v>
      </c>
      <c r="I73" s="66">
        <f t="shared" si="2"/>
        <v>48641343.040509298</v>
      </c>
    </row>
    <row r="74" spans="1:9" x14ac:dyDescent="0.3">
      <c r="A74" s="67">
        <v>50</v>
      </c>
      <c r="B74" s="67">
        <v>11181.263350564637</v>
      </c>
      <c r="C74" s="67">
        <v>-3525.2633505646372</v>
      </c>
      <c r="D74" s="66">
        <f>'2021 г.'!T52</f>
        <v>17920</v>
      </c>
      <c r="E74" s="66">
        <f>'2021 г.'!U52</f>
        <v>7656</v>
      </c>
      <c r="F74" s="67">
        <v>11181.263350564637</v>
      </c>
      <c r="G74" s="66">
        <f t="shared" si="0"/>
        <v>-3525.2633505646372</v>
      </c>
      <c r="H74" s="66">
        <f t="shared" si="1"/>
        <v>3525.2633505646372</v>
      </c>
      <c r="I74" s="66">
        <f t="shared" si="2"/>
        <v>12427481.690834213</v>
      </c>
    </row>
    <row r="75" spans="1:9" x14ac:dyDescent="0.3">
      <c r="A75" s="67">
        <v>51</v>
      </c>
      <c r="B75" s="67">
        <v>11096.663993403998</v>
      </c>
      <c r="C75" s="67">
        <v>-2563.6639934039977</v>
      </c>
      <c r="D75" s="66">
        <f>'2021 г.'!T53</f>
        <v>17734</v>
      </c>
      <c r="E75" s="66">
        <f>'2021 г.'!U53</f>
        <v>8533</v>
      </c>
      <c r="F75" s="67">
        <v>11096.663993403998</v>
      </c>
      <c r="G75" s="66">
        <f t="shared" si="0"/>
        <v>-2563.6639934039977</v>
      </c>
      <c r="H75" s="66">
        <f t="shared" si="1"/>
        <v>2563.6639934039977</v>
      </c>
      <c r="I75" s="66">
        <f t="shared" si="2"/>
        <v>6572373.0710761324</v>
      </c>
    </row>
    <row r="76" spans="1:9" x14ac:dyDescent="0.3">
      <c r="A76" s="67">
        <v>52</v>
      </c>
      <c r="B76" s="67">
        <v>18918.465848734719</v>
      </c>
      <c r="C76" s="67">
        <v>-5913.4658487347187</v>
      </c>
      <c r="D76" s="66">
        <f>'2021 г.'!T54</f>
        <v>34931</v>
      </c>
      <c r="E76" s="66">
        <f>'2021 г.'!U54</f>
        <v>13005</v>
      </c>
      <c r="F76" s="67">
        <v>18918.465848734719</v>
      </c>
      <c r="G76" s="66">
        <f t="shared" si="0"/>
        <v>-5913.4658487347187</v>
      </c>
      <c r="H76" s="66">
        <f t="shared" si="1"/>
        <v>5913.4658487347187</v>
      </c>
      <c r="I76" s="66">
        <f t="shared" si="2"/>
        <v>34969078.344151825</v>
      </c>
    </row>
    <row r="77" spans="1:9" x14ac:dyDescent="0.3">
      <c r="A77" s="67">
        <v>53</v>
      </c>
      <c r="B77" s="67">
        <v>22462.542144410538</v>
      </c>
      <c r="C77" s="67">
        <v>-14310.542144410538</v>
      </c>
      <c r="D77" s="66">
        <f>'2021 г.'!T55</f>
        <v>42723</v>
      </c>
      <c r="E77" s="66">
        <f>'2021 г.'!U55</f>
        <v>8152</v>
      </c>
      <c r="F77" s="67">
        <v>22462.542144410538</v>
      </c>
      <c r="G77" s="66">
        <f t="shared" si="0"/>
        <v>-14310.542144410538</v>
      </c>
      <c r="H77" s="66">
        <f t="shared" si="1"/>
        <v>14310.542144410538</v>
      </c>
      <c r="I77" s="66">
        <f t="shared" si="2"/>
        <v>204791616.46695015</v>
      </c>
    </row>
    <row r="78" spans="1:9" x14ac:dyDescent="0.3">
      <c r="A78" s="67">
        <v>54</v>
      </c>
      <c r="B78" s="67">
        <v>28459.999797744891</v>
      </c>
      <c r="C78" s="67">
        <v>23473.000202255109</v>
      </c>
      <c r="D78" s="66">
        <f>'2021 г.'!T56</f>
        <v>55909</v>
      </c>
      <c r="E78" s="66">
        <f>'2021 г.'!U56</f>
        <v>51933</v>
      </c>
      <c r="F78" s="67">
        <v>28459.999797744891</v>
      </c>
      <c r="G78" s="66">
        <f t="shared" si="0"/>
        <v>23473.000202255109</v>
      </c>
      <c r="H78" s="66">
        <f t="shared" si="1"/>
        <v>23473.000202255109</v>
      </c>
      <c r="I78" s="66">
        <f t="shared" si="2"/>
        <v>550981738.49506843</v>
      </c>
    </row>
    <row r="79" spans="1:9" x14ac:dyDescent="0.3">
      <c r="A79" s="67">
        <v>55</v>
      </c>
      <c r="B79" s="67">
        <v>12102.304739007081</v>
      </c>
      <c r="C79" s="67">
        <v>-3619.3047390070806</v>
      </c>
      <c r="D79" s="66">
        <f>'2021 г.'!T57</f>
        <v>19945</v>
      </c>
      <c r="E79" s="66">
        <f>'2021 г.'!U57</f>
        <v>8483</v>
      </c>
      <c r="F79" s="67">
        <v>12102.304739007081</v>
      </c>
      <c r="G79" s="66">
        <f t="shared" si="0"/>
        <v>-3619.3047390070806</v>
      </c>
      <c r="H79" s="66">
        <f t="shared" si="1"/>
        <v>3619.3047390070806</v>
      </c>
      <c r="I79" s="66">
        <f t="shared" si="2"/>
        <v>13099366.793799112</v>
      </c>
    </row>
    <row r="80" spans="1:9" x14ac:dyDescent="0.3">
      <c r="A80" s="67">
        <v>56</v>
      </c>
      <c r="B80" s="67">
        <v>10456.71079165658</v>
      </c>
      <c r="C80" s="67">
        <v>567.28920834341989</v>
      </c>
      <c r="D80" s="66">
        <f>'2021 г.'!T58</f>
        <v>16327.000000000002</v>
      </c>
      <c r="E80" s="66">
        <f>'2021 г.'!U58</f>
        <v>11024</v>
      </c>
      <c r="F80" s="67">
        <v>10456.71079165658</v>
      </c>
      <c r="G80" s="66">
        <f t="shared" si="0"/>
        <v>567.28920834341989</v>
      </c>
      <c r="H80" s="66">
        <f t="shared" si="1"/>
        <v>567.28920834341989</v>
      </c>
      <c r="I80" s="66">
        <f t="shared" si="2"/>
        <v>321817.04590290406</v>
      </c>
    </row>
    <row r="81" spans="1:9" x14ac:dyDescent="0.3">
      <c r="A81" s="67">
        <v>57</v>
      </c>
      <c r="B81" s="67">
        <v>42495.306051847088</v>
      </c>
      <c r="C81" s="67">
        <v>16042.693948152912</v>
      </c>
      <c r="D81" s="66">
        <f>'2021 г.'!T59</f>
        <v>86767</v>
      </c>
      <c r="E81" s="66">
        <f>'2021 г.'!U59</f>
        <v>58538</v>
      </c>
      <c r="F81" s="67">
        <v>42495.306051847088</v>
      </c>
      <c r="G81" s="66">
        <f t="shared" si="0"/>
        <v>16042.693948152912</v>
      </c>
      <c r="H81" s="66">
        <f t="shared" si="1"/>
        <v>16042.693948152912</v>
      </c>
      <c r="I81" s="66">
        <f t="shared" si="2"/>
        <v>257368029.11410207</v>
      </c>
    </row>
    <row r="82" spans="1:9" x14ac:dyDescent="0.3">
      <c r="A82" s="67">
        <v>58</v>
      </c>
      <c r="B82" s="67">
        <v>12561.233509840871</v>
      </c>
      <c r="C82" s="67">
        <v>-3410.2335098408712</v>
      </c>
      <c r="D82" s="66">
        <f>'2021 г.'!T60</f>
        <v>20954</v>
      </c>
      <c r="E82" s="66">
        <f>'2021 г.'!U60</f>
        <v>9151</v>
      </c>
      <c r="F82" s="67">
        <v>12561.233509840871</v>
      </c>
      <c r="G82" s="66">
        <f t="shared" si="0"/>
        <v>-3410.2335098408712</v>
      </c>
      <c r="H82" s="66">
        <f t="shared" si="1"/>
        <v>3410.2335098408712</v>
      </c>
      <c r="I82" s="66">
        <f t="shared" si="2"/>
        <v>11629692.591641588</v>
      </c>
    </row>
    <row r="83" spans="1:9" x14ac:dyDescent="0.3">
      <c r="A83" s="67">
        <v>59</v>
      </c>
      <c r="B83" s="67">
        <v>29850.431167852821</v>
      </c>
      <c r="C83" s="67">
        <v>13429.568832147179</v>
      </c>
      <c r="D83" s="66">
        <f>'2021 г.'!T61</f>
        <v>58966</v>
      </c>
      <c r="E83" s="66">
        <f>'2021 г.'!U61</f>
        <v>43280</v>
      </c>
      <c r="F83" s="67">
        <v>29850.431167852821</v>
      </c>
      <c r="G83" s="66">
        <f t="shared" si="0"/>
        <v>13429.568832147179</v>
      </c>
      <c r="H83" s="66">
        <f t="shared" si="1"/>
        <v>13429.568832147179</v>
      </c>
      <c r="I83" s="66">
        <f t="shared" si="2"/>
        <v>180353319.01737896</v>
      </c>
    </row>
    <row r="84" spans="1:9" x14ac:dyDescent="0.3">
      <c r="A84" s="67">
        <v>60</v>
      </c>
      <c r="B84" s="67">
        <v>27568.977536036869</v>
      </c>
      <c r="C84" s="67">
        <v>2262.0224639631306</v>
      </c>
      <c r="D84" s="66">
        <f>'2021 г.'!T62</f>
        <v>53950</v>
      </c>
      <c r="E84" s="66">
        <f>'2021 г.'!U62</f>
        <v>29831</v>
      </c>
      <c r="F84" s="67">
        <v>27568.977536036869</v>
      </c>
      <c r="G84" s="66">
        <f t="shared" si="0"/>
        <v>2262.0224639631306</v>
      </c>
      <c r="H84" s="66">
        <f t="shared" si="1"/>
        <v>2262.0224639631306</v>
      </c>
      <c r="I84" s="66">
        <f t="shared" si="2"/>
        <v>5116745.6274738321</v>
      </c>
    </row>
    <row r="85" spans="1:9" x14ac:dyDescent="0.3">
      <c r="A85" s="67">
        <v>61</v>
      </c>
      <c r="B85" s="67">
        <v>9562.0498479201415</v>
      </c>
      <c r="C85" s="67">
        <v>-686.04984792014147</v>
      </c>
      <c r="D85" s="66">
        <f>'2021 г.'!T63</f>
        <v>14360</v>
      </c>
      <c r="E85" s="66">
        <f>'2021 г.'!U63</f>
        <v>8876</v>
      </c>
      <c r="F85" s="67">
        <v>9562.0498479201415</v>
      </c>
      <c r="G85" s="66">
        <f t="shared" si="0"/>
        <v>-686.04984792014147</v>
      </c>
      <c r="H85" s="66">
        <f t="shared" si="1"/>
        <v>686.04984792014147</v>
      </c>
      <c r="I85" s="66">
        <f t="shared" si="2"/>
        <v>470664.39383124927</v>
      </c>
    </row>
    <row r="86" spans="1:9" x14ac:dyDescent="0.3">
      <c r="A86" s="67">
        <v>62</v>
      </c>
      <c r="B86" s="67">
        <v>42327.017008032912</v>
      </c>
      <c r="C86" s="67">
        <v>12156.982991967088</v>
      </c>
      <c r="D86" s="66">
        <f>'2021 г.'!T64</f>
        <v>86397</v>
      </c>
      <c r="E86" s="66">
        <f>'2021 г.'!U64</f>
        <v>54484</v>
      </c>
      <c r="F86" s="67">
        <v>42327.017008032912</v>
      </c>
      <c r="G86" s="66">
        <f t="shared" si="0"/>
        <v>12156.982991967088</v>
      </c>
      <c r="H86" s="66">
        <f t="shared" si="1"/>
        <v>12156.982991967088</v>
      </c>
      <c r="I86" s="66">
        <f t="shared" si="2"/>
        <v>147792235.46697706</v>
      </c>
    </row>
    <row r="87" spans="1:9" x14ac:dyDescent="0.3">
      <c r="A87" s="67">
        <v>63</v>
      </c>
      <c r="B87" s="67">
        <v>13843.868924857017</v>
      </c>
      <c r="C87" s="67">
        <v>169.13107514298281</v>
      </c>
      <c r="D87" s="66">
        <f>'2021 г.'!T65</f>
        <v>23774</v>
      </c>
      <c r="E87" s="66">
        <f>'2021 г.'!U65</f>
        <v>14013</v>
      </c>
      <c r="F87" s="67">
        <v>13843.868924857017</v>
      </c>
      <c r="G87" s="66">
        <f t="shared" si="0"/>
        <v>169.13107514298281</v>
      </c>
      <c r="H87" s="66">
        <f t="shared" si="1"/>
        <v>169.13107514298281</v>
      </c>
      <c r="I87" s="66">
        <f t="shared" si="2"/>
        <v>28605.320579021296</v>
      </c>
    </row>
    <row r="88" spans="1:9" x14ac:dyDescent="0.3">
      <c r="A88" s="67">
        <v>64</v>
      </c>
      <c r="B88" s="67">
        <v>37171.004573769431</v>
      </c>
      <c r="C88" s="67">
        <v>-3163.0045737694309</v>
      </c>
      <c r="D88" s="66">
        <f>'2021 г.'!T66</f>
        <v>75061</v>
      </c>
      <c r="E88" s="66">
        <f>'2021 г.'!U66</f>
        <v>34008</v>
      </c>
      <c r="F88" s="67">
        <v>37171.004573769431</v>
      </c>
      <c r="G88" s="66">
        <f t="shared" si="0"/>
        <v>-3163.0045737694309</v>
      </c>
      <c r="H88" s="66">
        <f t="shared" si="1"/>
        <v>3163.0045737694309</v>
      </c>
      <c r="I88" s="66">
        <f t="shared" si="2"/>
        <v>10004597.933686338</v>
      </c>
    </row>
    <row r="89" spans="1:9" x14ac:dyDescent="0.3">
      <c r="A89" s="67">
        <v>65</v>
      </c>
      <c r="B89" s="67">
        <v>12216.92322290214</v>
      </c>
      <c r="C89" s="67">
        <v>1320.07677709786</v>
      </c>
      <c r="D89" s="66">
        <f>'2021 г.'!T67</f>
        <v>20197</v>
      </c>
      <c r="E89" s="66">
        <f>'2021 г.'!U67</f>
        <v>13537</v>
      </c>
      <c r="F89" s="67">
        <v>12216.92322290214</v>
      </c>
      <c r="G89" s="66">
        <f t="shared" si="0"/>
        <v>1320.07677709786</v>
      </c>
      <c r="H89" s="66">
        <f t="shared" si="1"/>
        <v>1320.07677709786</v>
      </c>
      <c r="I89" s="66">
        <f t="shared" si="2"/>
        <v>1742602.6974330733</v>
      </c>
    </row>
    <row r="90" spans="1:9" x14ac:dyDescent="0.3">
      <c r="A90" s="67">
        <v>66</v>
      </c>
      <c r="B90" s="67">
        <v>14476.089927294053</v>
      </c>
      <c r="C90" s="67">
        <v>6106.9100727059467</v>
      </c>
      <c r="D90" s="66">
        <f>'2021 г.'!T68</f>
        <v>25164</v>
      </c>
      <c r="E90" s="66">
        <f>'2021 г.'!U68</f>
        <v>20583</v>
      </c>
      <c r="F90" s="67">
        <v>14476.089927294053</v>
      </c>
      <c r="G90" s="66">
        <f t="shared" ref="G90:G104" si="3">E90-F90</f>
        <v>6106.9100727059467</v>
      </c>
      <c r="H90" s="66">
        <f t="shared" ref="H90:H104" si="4">ABS(G90)</f>
        <v>6106.9100727059467</v>
      </c>
      <c r="I90" s="66">
        <f t="shared" ref="I90:I104" si="5">H90^2</f>
        <v>37294350.636117354</v>
      </c>
    </row>
    <row r="91" spans="1:9" x14ac:dyDescent="0.3">
      <c r="A91" s="67">
        <v>67</v>
      </c>
      <c r="B91" s="67">
        <v>19849.513612755305</v>
      </c>
      <c r="C91" s="67">
        <v>-3036.5136127553051</v>
      </c>
      <c r="D91" s="66">
        <f>'2021 г.'!T69</f>
        <v>36978</v>
      </c>
      <c r="E91" s="66">
        <f>'2021 г.'!U69</f>
        <v>16813</v>
      </c>
      <c r="F91" s="67">
        <v>19849.513612755305</v>
      </c>
      <c r="G91" s="66">
        <f t="shared" si="3"/>
        <v>-3036.5136127553051</v>
      </c>
      <c r="H91" s="66">
        <f t="shared" si="4"/>
        <v>3036.5136127553051</v>
      </c>
      <c r="I91" s="66">
        <f t="shared" si="5"/>
        <v>9220414.9204482753</v>
      </c>
    </row>
    <row r="92" spans="1:9" x14ac:dyDescent="0.3">
      <c r="A92" s="67">
        <v>68</v>
      </c>
      <c r="B92" s="67">
        <v>17281.513771201706</v>
      </c>
      <c r="C92" s="67">
        <v>-1727.5137712017058</v>
      </c>
      <c r="D92" s="66">
        <f>'2021 г.'!T70</f>
        <v>31332</v>
      </c>
      <c r="E92" s="66">
        <f>'2021 г.'!U70</f>
        <v>15554</v>
      </c>
      <c r="F92" s="67">
        <v>17281.513771201706</v>
      </c>
      <c r="G92" s="66">
        <f t="shared" si="3"/>
        <v>-1727.5137712017058</v>
      </c>
      <c r="H92" s="66">
        <f t="shared" si="4"/>
        <v>1727.5137712017058</v>
      </c>
      <c r="I92" s="66">
        <f t="shared" si="5"/>
        <v>2984303.8296915395</v>
      </c>
    </row>
    <row r="93" spans="1:9" x14ac:dyDescent="0.3">
      <c r="A93" s="67">
        <v>69</v>
      </c>
      <c r="B93" s="67">
        <v>17719.065285118559</v>
      </c>
      <c r="C93" s="67">
        <v>6440.9347148814413</v>
      </c>
      <c r="D93" s="66">
        <f>'2021 г.'!T71</f>
        <v>32293.999999999996</v>
      </c>
      <c r="E93" s="66">
        <f>'2021 г.'!U71</f>
        <v>24160</v>
      </c>
      <c r="F93" s="67">
        <v>17719.065285118559</v>
      </c>
      <c r="G93" s="66">
        <f t="shared" si="3"/>
        <v>6440.9347148814413</v>
      </c>
      <c r="H93" s="66">
        <f t="shared" si="4"/>
        <v>6440.9347148814413</v>
      </c>
      <c r="I93" s="66">
        <f t="shared" si="5"/>
        <v>41485640.001364872</v>
      </c>
    </row>
    <row r="94" spans="1:9" x14ac:dyDescent="0.3">
      <c r="A94" s="67">
        <v>70</v>
      </c>
      <c r="B94" s="67">
        <v>18309.441444228829</v>
      </c>
      <c r="C94" s="67">
        <v>8214.5585557711711</v>
      </c>
      <c r="D94" s="66">
        <f>'2021 г.'!T72</f>
        <v>33592</v>
      </c>
      <c r="E94" s="66">
        <f>'2021 г.'!U72</f>
        <v>26524</v>
      </c>
      <c r="F94" s="67">
        <v>18309.441444228829</v>
      </c>
      <c r="G94" s="66">
        <f t="shared" si="3"/>
        <v>8214.5585557711711</v>
      </c>
      <c r="H94" s="66">
        <f t="shared" si="4"/>
        <v>8214.5585557711711</v>
      </c>
      <c r="I94" s="66">
        <f t="shared" si="5"/>
        <v>67478972.266193345</v>
      </c>
    </row>
    <row r="95" spans="1:9" x14ac:dyDescent="0.3">
      <c r="A95" s="67">
        <v>71</v>
      </c>
      <c r="B95" s="67">
        <v>14858.151540277584</v>
      </c>
      <c r="C95" s="67">
        <v>-2582.151540277584</v>
      </c>
      <c r="D95" s="66">
        <f>'2021 г.'!T73</f>
        <v>26004</v>
      </c>
      <c r="E95" s="66">
        <f>'2021 г.'!U73</f>
        <v>12276</v>
      </c>
      <c r="F95" s="67">
        <v>14858.151540277584</v>
      </c>
      <c r="G95" s="66">
        <f t="shared" si="3"/>
        <v>-2582.151540277584</v>
      </c>
      <c r="H95" s="66">
        <f t="shared" si="4"/>
        <v>2582.151540277584</v>
      </c>
      <c r="I95" s="66">
        <f t="shared" si="5"/>
        <v>6667506.5769578991</v>
      </c>
    </row>
    <row r="96" spans="1:9" x14ac:dyDescent="0.3">
      <c r="A96" s="67">
        <v>72</v>
      </c>
      <c r="B96" s="67">
        <v>12830.04114469</v>
      </c>
      <c r="C96" s="67">
        <v>9156.9588553100002</v>
      </c>
      <c r="D96" s="66">
        <f>'2021 г.'!T74</f>
        <v>21545</v>
      </c>
      <c r="E96" s="66">
        <f>'2021 г.'!U74</f>
        <v>21987</v>
      </c>
      <c r="F96" s="67">
        <v>12830.04114469</v>
      </c>
      <c r="G96" s="66">
        <f t="shared" si="3"/>
        <v>9156.9588553100002</v>
      </c>
      <c r="H96" s="66">
        <f t="shared" si="4"/>
        <v>9156.9588553100002</v>
      </c>
      <c r="I96" s="66">
        <f t="shared" si="5"/>
        <v>83849895.47784023</v>
      </c>
    </row>
    <row r="97" spans="1:9" x14ac:dyDescent="0.3">
      <c r="A97" s="67">
        <v>73</v>
      </c>
      <c r="B97" s="67">
        <v>14142.240851187013</v>
      </c>
      <c r="C97" s="67">
        <v>6645.7591488129874</v>
      </c>
      <c r="D97" s="66">
        <f>'2021 г.'!T75</f>
        <v>24430</v>
      </c>
      <c r="E97" s="66">
        <f>'2021 г.'!U75</f>
        <v>20788</v>
      </c>
      <c r="F97" s="67">
        <v>14142.240851187013</v>
      </c>
      <c r="G97" s="66">
        <f t="shared" si="3"/>
        <v>6645.7591488129874</v>
      </c>
      <c r="H97" s="66">
        <f t="shared" si="4"/>
        <v>6645.7591488129874</v>
      </c>
      <c r="I97" s="66">
        <f t="shared" si="5"/>
        <v>44166114.66403152</v>
      </c>
    </row>
    <row r="98" spans="1:9" x14ac:dyDescent="0.3">
      <c r="A98" s="67">
        <v>74</v>
      </c>
      <c r="B98" s="67">
        <v>44737.643851857589</v>
      </c>
      <c r="C98" s="67">
        <v>20561.356148142411</v>
      </c>
      <c r="D98" s="66">
        <f>'2021 г.'!T76</f>
        <v>91697</v>
      </c>
      <c r="E98" s="66">
        <f>'2021 г.'!U76</f>
        <v>65299</v>
      </c>
      <c r="F98" s="67">
        <v>44737.643851857589</v>
      </c>
      <c r="G98" s="66">
        <f t="shared" si="3"/>
        <v>20561.356148142411</v>
      </c>
      <c r="H98" s="66">
        <f t="shared" si="4"/>
        <v>20561.356148142411</v>
      </c>
      <c r="I98" s="66">
        <f t="shared" si="5"/>
        <v>422769366.65075374</v>
      </c>
    </row>
    <row r="99" spans="1:9" x14ac:dyDescent="0.3">
      <c r="A99" s="67">
        <v>75</v>
      </c>
      <c r="B99" s="67">
        <v>46343.212296895523</v>
      </c>
      <c r="C99" s="67">
        <v>-43215.212296895523</v>
      </c>
      <c r="D99" s="66">
        <f>'2021 г.'!T77</f>
        <v>95227</v>
      </c>
      <c r="E99" s="66">
        <f>'2021 г.'!U77</f>
        <v>3128</v>
      </c>
      <c r="F99" s="67">
        <v>46343.212296895523</v>
      </c>
      <c r="G99" s="66">
        <f t="shared" si="3"/>
        <v>-43215.212296895523</v>
      </c>
      <c r="H99" s="66">
        <f t="shared" si="4"/>
        <v>43215.212296895523</v>
      </c>
      <c r="I99" s="66">
        <f t="shared" si="5"/>
        <v>1867554573.8657501</v>
      </c>
    </row>
    <row r="100" spans="1:9" x14ac:dyDescent="0.3">
      <c r="A100" s="67">
        <v>76</v>
      </c>
      <c r="B100" s="67">
        <v>15900.179106164815</v>
      </c>
      <c r="C100" s="67">
        <v>-3333.1791061648146</v>
      </c>
      <c r="D100" s="66">
        <f>'2021 г.'!T78</f>
        <v>28295</v>
      </c>
      <c r="E100" s="66">
        <f>'2021 г.'!U78</f>
        <v>12567</v>
      </c>
      <c r="F100" s="67">
        <v>15900.179106164815</v>
      </c>
      <c r="G100" s="66">
        <f t="shared" si="3"/>
        <v>-3333.1791061648146</v>
      </c>
      <c r="H100" s="66">
        <f t="shared" si="4"/>
        <v>3333.1791061648146</v>
      </c>
      <c r="I100" s="66">
        <f t="shared" si="5"/>
        <v>11110082.953773672</v>
      </c>
    </row>
    <row r="101" spans="1:9" x14ac:dyDescent="0.3">
      <c r="A101" s="67">
        <v>77</v>
      </c>
      <c r="B101" s="67">
        <v>3395.8483155180593</v>
      </c>
      <c r="C101" s="67">
        <v>-2611.8483155180593</v>
      </c>
      <c r="D101" s="66">
        <f>'2021 г.'!T79</f>
        <v>803</v>
      </c>
      <c r="E101" s="66">
        <f>'2021 г.'!U79</f>
        <v>784</v>
      </c>
      <c r="F101" s="67">
        <v>3395.8483155180593</v>
      </c>
      <c r="G101" s="66">
        <f t="shared" si="3"/>
        <v>-2611.8483155180593</v>
      </c>
      <c r="H101" s="66">
        <f t="shared" si="4"/>
        <v>2611.8483155180593</v>
      </c>
      <c r="I101" s="66">
        <f t="shared" si="5"/>
        <v>6821751.6232745238</v>
      </c>
    </row>
    <row r="102" spans="1:9" x14ac:dyDescent="0.3">
      <c r="A102" s="67">
        <v>78</v>
      </c>
      <c r="B102" s="67">
        <v>5891.9841870104719</v>
      </c>
      <c r="C102" s="67">
        <v>1069.0158129895281</v>
      </c>
      <c r="D102" s="66">
        <f>'2021 г.'!T80</f>
        <v>6291</v>
      </c>
      <c r="E102" s="66">
        <f>'2021 г.'!U80</f>
        <v>6961</v>
      </c>
      <c r="F102" s="67">
        <v>5891.9841870104719</v>
      </c>
      <c r="G102" s="66">
        <f t="shared" si="3"/>
        <v>1069.0158129895281</v>
      </c>
      <c r="H102" s="66">
        <f t="shared" si="4"/>
        <v>1069.0158129895281</v>
      </c>
      <c r="I102" s="66">
        <f t="shared" si="5"/>
        <v>1142794.8084216616</v>
      </c>
    </row>
    <row r="103" spans="1:9" x14ac:dyDescent="0.3">
      <c r="A103" s="67">
        <v>79</v>
      </c>
      <c r="B103" s="67">
        <v>20479.460438924583</v>
      </c>
      <c r="C103" s="67">
        <v>-4413.4604389245833</v>
      </c>
      <c r="D103" s="66">
        <f>'2021 г.'!T81</f>
        <v>38363</v>
      </c>
      <c r="E103" s="66">
        <f>'2021 г.'!U81</f>
        <v>16066</v>
      </c>
      <c r="F103" s="67">
        <v>20479.460438924583</v>
      </c>
      <c r="G103" s="66">
        <f t="shared" si="3"/>
        <v>-4413.4604389245833</v>
      </c>
      <c r="H103" s="66">
        <f t="shared" si="4"/>
        <v>4413.4604389245833</v>
      </c>
      <c r="I103" s="66">
        <f t="shared" si="5"/>
        <v>19478633.045952376</v>
      </c>
    </row>
    <row r="104" spans="1:9" ht="15" thickBot="1" x14ac:dyDescent="0.35">
      <c r="A104" s="68">
        <v>80</v>
      </c>
      <c r="B104" s="68">
        <v>36338.201224516044</v>
      </c>
      <c r="C104" s="68">
        <v>-30202.201224516044</v>
      </c>
      <c r="D104" s="66">
        <f>'2021 г.'!T82</f>
        <v>73230</v>
      </c>
      <c r="E104" s="66">
        <f>'2021 г.'!U82</f>
        <v>6136</v>
      </c>
      <c r="F104" s="68">
        <v>36338.201224516044</v>
      </c>
      <c r="G104" s="66">
        <f t="shared" si="3"/>
        <v>-30202.201224516044</v>
      </c>
      <c r="H104" s="66">
        <f t="shared" si="4"/>
        <v>30202.201224516044</v>
      </c>
      <c r="I104" s="66">
        <f t="shared" si="5"/>
        <v>912172958.80615842</v>
      </c>
    </row>
    <row r="105" spans="1:9" x14ac:dyDescent="0.3">
      <c r="D105" s="66">
        <f>'2021 г.'!T83</f>
        <v>36868.287499999999</v>
      </c>
      <c r="I105">
        <f>AVERAGE(I25:I104)</f>
        <v>110086826.44482481</v>
      </c>
    </row>
    <row r="106" spans="1:9" x14ac:dyDescent="0.3">
      <c r="D106" s="66">
        <f>'2021 г.'!T84</f>
        <v>0</v>
      </c>
      <c r="I106">
        <f>SQRT(I105)</f>
        <v>10492.22695355113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94771-C1AF-4201-83B4-1E3881C77EC6}">
  <dimension ref="A1:J106"/>
  <sheetViews>
    <sheetView topLeftCell="G20" zoomScale="130" zoomScaleNormal="130" workbookViewId="0">
      <selection activeCell="Q19" sqref="Q19"/>
    </sheetView>
  </sheetViews>
  <sheetFormatPr defaultRowHeight="14.4" x14ac:dyDescent="0.3"/>
  <cols>
    <col min="2" max="2" width="17" customWidth="1"/>
    <col min="7" max="7" width="16.44140625" customWidth="1"/>
  </cols>
  <sheetData>
    <row r="1" spans="1:9" x14ac:dyDescent="0.3">
      <c r="A1" t="s">
        <v>110</v>
      </c>
    </row>
    <row r="2" spans="1:9" ht="15" thickBot="1" x14ac:dyDescent="0.35"/>
    <row r="3" spans="1:9" x14ac:dyDescent="0.3">
      <c r="A3" s="70" t="s">
        <v>111</v>
      </c>
      <c r="B3" s="70"/>
    </row>
    <row r="4" spans="1:9" x14ac:dyDescent="0.3">
      <c r="A4" s="67" t="s">
        <v>112</v>
      </c>
      <c r="B4" s="67">
        <v>0.74283967795384198</v>
      </c>
    </row>
    <row r="5" spans="1:9" x14ac:dyDescent="0.3">
      <c r="A5" s="67" t="s">
        <v>113</v>
      </c>
      <c r="B5" s="67">
        <v>0.55181078714256759</v>
      </c>
    </row>
    <row r="6" spans="1:9" x14ac:dyDescent="0.3">
      <c r="A6" s="67" t="s">
        <v>114</v>
      </c>
      <c r="B6" s="67">
        <v>0.54606477159311329</v>
      </c>
    </row>
    <row r="7" spans="1:9" x14ac:dyDescent="0.3">
      <c r="A7" s="67" t="s">
        <v>115</v>
      </c>
      <c r="B7" s="67">
        <v>0.61027073655009956</v>
      </c>
    </row>
    <row r="8" spans="1:9" ht="15" thickBot="1" x14ac:dyDescent="0.35">
      <c r="A8" s="68" t="s">
        <v>116</v>
      </c>
      <c r="B8" s="68">
        <v>80</v>
      </c>
    </row>
    <row r="10" spans="1:9" ht="15" thickBot="1" x14ac:dyDescent="0.35">
      <c r="A10" t="s">
        <v>117</v>
      </c>
    </row>
    <row r="11" spans="1:9" x14ac:dyDescent="0.3">
      <c r="A11" s="69"/>
      <c r="B11" s="69" t="s">
        <v>122</v>
      </c>
      <c r="C11" s="69" t="s">
        <v>123</v>
      </c>
      <c r="D11" s="69" t="s">
        <v>124</v>
      </c>
      <c r="E11" s="69" t="s">
        <v>125</v>
      </c>
      <c r="F11" s="69" t="s">
        <v>126</v>
      </c>
    </row>
    <row r="12" spans="1:9" x14ac:dyDescent="0.3">
      <c r="A12" s="67" t="s">
        <v>118</v>
      </c>
      <c r="B12" s="67">
        <v>1</v>
      </c>
      <c r="C12" s="67">
        <v>35.765844157454168</v>
      </c>
      <c r="D12" s="67">
        <v>35.765844157454168</v>
      </c>
      <c r="E12" s="67">
        <v>96.033639727093444</v>
      </c>
      <c r="F12" s="67">
        <v>3.0640430692852642E-15</v>
      </c>
    </row>
    <row r="13" spans="1:9" x14ac:dyDescent="0.3">
      <c r="A13" s="67" t="s">
        <v>119</v>
      </c>
      <c r="B13" s="67">
        <v>78</v>
      </c>
      <c r="C13" s="67">
        <v>29.049569007373279</v>
      </c>
      <c r="D13" s="67">
        <v>0.37243037188940104</v>
      </c>
      <c r="E13" s="67"/>
      <c r="F13" s="67"/>
    </row>
    <row r="14" spans="1:9" ht="15" thickBot="1" x14ac:dyDescent="0.35">
      <c r="A14" s="68" t="s">
        <v>120</v>
      </c>
      <c r="B14" s="68">
        <v>79</v>
      </c>
      <c r="C14" s="68">
        <v>64.815413164827447</v>
      </c>
      <c r="D14" s="68"/>
      <c r="E14" s="68"/>
      <c r="F14" s="68"/>
    </row>
    <row r="15" spans="1:9" ht="15" thickBot="1" x14ac:dyDescent="0.35"/>
    <row r="16" spans="1:9" x14ac:dyDescent="0.3">
      <c r="A16" s="69"/>
      <c r="B16" s="69" t="s">
        <v>127</v>
      </c>
      <c r="C16" s="69" t="s">
        <v>115</v>
      </c>
      <c r="D16" s="69" t="s">
        <v>128</v>
      </c>
      <c r="E16" s="69" t="s">
        <v>129</v>
      </c>
      <c r="F16" s="69" t="s">
        <v>130</v>
      </c>
      <c r="G16" s="69" t="s">
        <v>131</v>
      </c>
      <c r="H16" s="69" t="s">
        <v>132</v>
      </c>
      <c r="I16" s="69" t="s">
        <v>133</v>
      </c>
    </row>
    <row r="17" spans="1:10" x14ac:dyDescent="0.3">
      <c r="A17" s="67" t="s">
        <v>121</v>
      </c>
      <c r="B17" s="67">
        <v>1.6165555594678649</v>
      </c>
      <c r="C17" s="67">
        <v>0.81397597702903413</v>
      </c>
      <c r="D17" s="67">
        <v>1.985999102047459</v>
      </c>
      <c r="E17" s="67">
        <v>5.0546840873771509E-2</v>
      </c>
      <c r="F17" s="67">
        <v>-3.9461284835207167E-3</v>
      </c>
      <c r="G17" s="67">
        <v>3.2370572474192505</v>
      </c>
      <c r="H17" s="67">
        <v>-3.9461284835207167E-3</v>
      </c>
      <c r="I17" s="67">
        <v>3.2370572474192505</v>
      </c>
    </row>
    <row r="18" spans="1:10" ht="15" thickBot="1" x14ac:dyDescent="0.35">
      <c r="A18" s="68" t="s">
        <v>134</v>
      </c>
      <c r="B18" s="68">
        <v>0.77591326435182739</v>
      </c>
      <c r="C18" s="68">
        <v>7.9177444709444419E-2</v>
      </c>
      <c r="D18" s="68">
        <v>9.7996754909075161</v>
      </c>
      <c r="E18" s="68">
        <v>3.0640430692852311E-15</v>
      </c>
      <c r="F18" s="68">
        <v>0.61828308063603021</v>
      </c>
      <c r="G18" s="68">
        <v>0.93354344806762457</v>
      </c>
      <c r="H18" s="68">
        <v>0.61828308063603021</v>
      </c>
      <c r="I18" s="68">
        <v>0.93354344806762457</v>
      </c>
    </row>
    <row r="22" spans="1:10" x14ac:dyDescent="0.3">
      <c r="A22" t="s">
        <v>135</v>
      </c>
    </row>
    <row r="23" spans="1:10" ht="15" thickBot="1" x14ac:dyDescent="0.35"/>
    <row r="24" spans="1:10" x14ac:dyDescent="0.3">
      <c r="A24" s="69" t="s">
        <v>136</v>
      </c>
      <c r="B24" s="69" t="s">
        <v>137</v>
      </c>
      <c r="C24" s="69" t="s">
        <v>138</v>
      </c>
      <c r="E24" s="111" t="s">
        <v>90</v>
      </c>
      <c r="F24" s="111" t="s">
        <v>144</v>
      </c>
      <c r="G24" s="111" t="s">
        <v>154</v>
      </c>
      <c r="H24" s="111" t="s">
        <v>145</v>
      </c>
      <c r="I24" s="111" t="s">
        <v>146</v>
      </c>
      <c r="J24" s="111" t="s">
        <v>147</v>
      </c>
    </row>
    <row r="25" spans="1:10" x14ac:dyDescent="0.3">
      <c r="A25" s="67">
        <v>1</v>
      </c>
      <c r="B25" s="67">
        <v>10.137317652566001</v>
      </c>
      <c r="C25" s="67">
        <v>0.43579253548311492</v>
      </c>
      <c r="E25">
        <f>'2021 г.'!AR3</f>
        <v>10.981590964572698</v>
      </c>
      <c r="F25">
        <f>'2021 г.'!AS3</f>
        <v>10.573110188049116</v>
      </c>
      <c r="G25">
        <f>B25</f>
        <v>10.137317652566001</v>
      </c>
      <c r="H25">
        <f>F25-G25</f>
        <v>0.43579253548311492</v>
      </c>
      <c r="I25">
        <f>ABS(H25)</f>
        <v>0.43579253548311492</v>
      </c>
      <c r="J25">
        <f>I25^2</f>
        <v>0.18991513398280196</v>
      </c>
    </row>
    <row r="26" spans="1:10" x14ac:dyDescent="0.3">
      <c r="A26" s="67">
        <v>2</v>
      </c>
      <c r="B26" s="67">
        <v>9.3144164521027903</v>
      </c>
      <c r="C26" s="67">
        <v>0.49646226870067522</v>
      </c>
      <c r="E26" s="66">
        <f>'2021 г.'!AR4</f>
        <v>9.9210327317518772</v>
      </c>
      <c r="F26" s="66">
        <f>'2021 г.'!AS4</f>
        <v>9.8108787208034656</v>
      </c>
      <c r="G26" s="66">
        <f t="shared" ref="G26:G89" si="0">B26</f>
        <v>9.3144164521027903</v>
      </c>
      <c r="H26" s="66">
        <f t="shared" ref="H26:H89" si="1">F26-G26</f>
        <v>0.49646226870067522</v>
      </c>
      <c r="I26" s="66">
        <f t="shared" ref="I26:I89" si="2">ABS(H26)</f>
        <v>0.49646226870067522</v>
      </c>
      <c r="J26" s="66">
        <f t="shared" ref="J26:J89" si="3">I26^2</f>
        <v>0.24647478424342145</v>
      </c>
    </row>
    <row r="27" spans="1:10" x14ac:dyDescent="0.3">
      <c r="A27" s="67">
        <v>3</v>
      </c>
      <c r="B27" s="67">
        <v>9.6952637502070012</v>
      </c>
      <c r="C27" s="67">
        <v>4.5469551027700561E-2</v>
      </c>
      <c r="E27" s="66">
        <f>'2021 г.'!AR5</f>
        <v>10.411870194650978</v>
      </c>
      <c r="F27" s="66">
        <f>'2021 г.'!AS5</f>
        <v>9.7407333012347017</v>
      </c>
      <c r="G27" s="66">
        <f t="shared" si="0"/>
        <v>9.6952637502070012</v>
      </c>
      <c r="H27" s="66">
        <f t="shared" si="1"/>
        <v>4.5469551027700561E-2</v>
      </c>
      <c r="I27" s="66">
        <f t="shared" si="2"/>
        <v>4.5469551027700561E-2</v>
      </c>
      <c r="J27" s="66">
        <f t="shared" si="3"/>
        <v>2.0674800706606653E-3</v>
      </c>
    </row>
    <row r="28" spans="1:10" x14ac:dyDescent="0.3">
      <c r="A28" s="67">
        <v>4</v>
      </c>
      <c r="B28" s="67">
        <v>9.8106194974358161</v>
      </c>
      <c r="C28" s="67">
        <v>-0.27812316514777535</v>
      </c>
      <c r="E28" s="66">
        <f>'2021 г.'!AR6</f>
        <v>10.560541125447834</v>
      </c>
      <c r="F28" s="66">
        <f>'2021 г.'!AS6</f>
        <v>9.5324963322880407</v>
      </c>
      <c r="G28" s="66">
        <f t="shared" si="0"/>
        <v>9.8106194974358161</v>
      </c>
      <c r="H28" s="66">
        <f t="shared" si="1"/>
        <v>-0.27812316514777535</v>
      </c>
      <c r="I28" s="66">
        <f t="shared" si="2"/>
        <v>0.27812316514777535</v>
      </c>
      <c r="J28" s="66">
        <f t="shared" si="3"/>
        <v>7.735249499181672E-2</v>
      </c>
    </row>
    <row r="29" spans="1:10" x14ac:dyDescent="0.3">
      <c r="A29" s="67">
        <v>5</v>
      </c>
      <c r="B29" s="67">
        <v>9.734439620718188</v>
      </c>
      <c r="C29" s="67">
        <v>-0.18285271296049288</v>
      </c>
      <c r="E29" s="66">
        <f>'2021 г.'!AR7</f>
        <v>10.462360207273605</v>
      </c>
      <c r="F29" s="66">
        <f>'2021 г.'!AS7</f>
        <v>9.5515869077576951</v>
      </c>
      <c r="G29" s="66">
        <f t="shared" si="0"/>
        <v>9.734439620718188</v>
      </c>
      <c r="H29" s="66">
        <f t="shared" si="1"/>
        <v>-0.18285271296049288</v>
      </c>
      <c r="I29" s="66">
        <f t="shared" si="2"/>
        <v>0.18285271296049288</v>
      </c>
      <c r="J29" s="66">
        <f t="shared" si="3"/>
        <v>3.3435114637012403E-2</v>
      </c>
    </row>
    <row r="30" spans="1:10" x14ac:dyDescent="0.3">
      <c r="A30" s="67">
        <v>6</v>
      </c>
      <c r="B30" s="67">
        <v>9.3039003770784703</v>
      </c>
      <c r="C30" s="67">
        <v>0.25723770166356807</v>
      </c>
      <c r="E30" s="66">
        <f>'2021 г.'!AR8</f>
        <v>9.9074795738056647</v>
      </c>
      <c r="F30" s="66">
        <f>'2021 г.'!AS8</f>
        <v>9.5611380787420384</v>
      </c>
      <c r="G30" s="66">
        <f t="shared" si="0"/>
        <v>9.3039003770784703</v>
      </c>
      <c r="H30" s="66">
        <f t="shared" si="1"/>
        <v>0.25723770166356807</v>
      </c>
      <c r="I30" s="66">
        <f t="shared" si="2"/>
        <v>0.25723770166356807</v>
      </c>
      <c r="J30" s="66">
        <f t="shared" si="3"/>
        <v>6.6171235157154853E-2</v>
      </c>
    </row>
    <row r="31" spans="1:10" x14ac:dyDescent="0.3">
      <c r="A31" s="67">
        <v>7</v>
      </c>
      <c r="B31" s="67">
        <v>9.5618484746215202</v>
      </c>
      <c r="C31" s="67">
        <v>0.13387662863870098</v>
      </c>
      <c r="E31" s="66">
        <f>'2021 г.'!AR9</f>
        <v>10.239924074233857</v>
      </c>
      <c r="F31" s="66">
        <f>'2021 г.'!AS9</f>
        <v>9.6957251032602212</v>
      </c>
      <c r="G31" s="66">
        <f t="shared" si="0"/>
        <v>9.5618484746215202</v>
      </c>
      <c r="H31" s="66">
        <f t="shared" si="1"/>
        <v>0.13387662863870098</v>
      </c>
      <c r="I31" s="66">
        <f t="shared" si="2"/>
        <v>0.13387662863870098</v>
      </c>
      <c r="J31" s="66">
        <f t="shared" si="3"/>
        <v>1.792295169566465E-2</v>
      </c>
    </row>
    <row r="32" spans="1:10" x14ac:dyDescent="0.3">
      <c r="A32" s="67">
        <v>8</v>
      </c>
      <c r="B32" s="67">
        <v>10.205099284551657</v>
      </c>
      <c r="C32" s="67">
        <v>0.33787092395872342</v>
      </c>
      <c r="E32" s="66">
        <f>'2021 г.'!AR10</f>
        <v>11.068948192628699</v>
      </c>
      <c r="F32" s="66">
        <f>'2021 г.'!AS10</f>
        <v>10.542970208510381</v>
      </c>
      <c r="G32" s="66">
        <f t="shared" si="0"/>
        <v>10.205099284551657</v>
      </c>
      <c r="H32" s="66">
        <f t="shared" si="1"/>
        <v>0.33787092395872342</v>
      </c>
      <c r="I32" s="66">
        <f t="shared" si="2"/>
        <v>0.33787092395872342</v>
      </c>
      <c r="J32" s="66">
        <f t="shared" si="3"/>
        <v>0.11415676125672147</v>
      </c>
    </row>
    <row r="33" spans="1:10" x14ac:dyDescent="0.3">
      <c r="A33" s="67">
        <v>9</v>
      </c>
      <c r="B33" s="67">
        <v>9.5015345679175418</v>
      </c>
      <c r="C33" s="67">
        <v>0.28401368675389982</v>
      </c>
      <c r="E33" s="66">
        <f>'2021 г.'!AR11</f>
        <v>10.162191279248889</v>
      </c>
      <c r="F33" s="66">
        <f>'2021 г.'!AS11</f>
        <v>9.7855482546714416</v>
      </c>
      <c r="G33" s="66">
        <f t="shared" si="0"/>
        <v>9.5015345679175418</v>
      </c>
      <c r="H33" s="66">
        <f t="shared" si="1"/>
        <v>0.28401368675389982</v>
      </c>
      <c r="I33" s="66">
        <f t="shared" si="2"/>
        <v>0.28401368675389982</v>
      </c>
      <c r="J33" s="66">
        <f t="shared" si="3"/>
        <v>8.0663774263542334E-2</v>
      </c>
    </row>
    <row r="34" spans="1:10" x14ac:dyDescent="0.3">
      <c r="A34" s="67">
        <v>10</v>
      </c>
      <c r="B34" s="67">
        <v>9.9402745573461573</v>
      </c>
      <c r="C34" s="67">
        <v>0.35363214509286323</v>
      </c>
      <c r="E34" s="66">
        <f>'2021 г.'!AR12</f>
        <v>10.727641065437455</v>
      </c>
      <c r="F34" s="66">
        <f>'2021 г.'!AS12</f>
        <v>10.293906702439021</v>
      </c>
      <c r="G34" s="66">
        <f t="shared" si="0"/>
        <v>9.9402745573461573</v>
      </c>
      <c r="H34" s="66">
        <f t="shared" si="1"/>
        <v>0.35363214509286323</v>
      </c>
      <c r="I34" s="66">
        <f t="shared" si="2"/>
        <v>0.35363214509286323</v>
      </c>
      <c r="J34" s="66">
        <f t="shared" si="3"/>
        <v>0.12505569404297986</v>
      </c>
    </row>
    <row r="35" spans="1:10" x14ac:dyDescent="0.3">
      <c r="A35" s="67">
        <v>11</v>
      </c>
      <c r="B35" s="67">
        <v>8.0878408063675309</v>
      </c>
      <c r="C35" s="67">
        <v>2.0782461987064238E-2</v>
      </c>
      <c r="E35" s="66">
        <f>'2021 г.'!AR13</f>
        <v>8.3402173209470352</v>
      </c>
      <c r="F35" s="66">
        <f>'2021 г.'!AS13</f>
        <v>8.1086232683545951</v>
      </c>
      <c r="G35" s="66">
        <f t="shared" si="0"/>
        <v>8.0878408063675309</v>
      </c>
      <c r="H35" s="66">
        <f t="shared" si="1"/>
        <v>2.0782461987064238E-2</v>
      </c>
      <c r="I35" s="66">
        <f t="shared" si="2"/>
        <v>2.0782461987064238E-2</v>
      </c>
      <c r="J35" s="66">
        <f t="shared" si="3"/>
        <v>4.3191072624377001E-4</v>
      </c>
    </row>
    <row r="36" spans="1:10" x14ac:dyDescent="0.3">
      <c r="A36" s="67">
        <v>12</v>
      </c>
      <c r="B36" s="67">
        <v>9.969036409068277</v>
      </c>
      <c r="C36" s="67">
        <v>1.6353659087485539E-2</v>
      </c>
      <c r="E36" s="66">
        <f>'2021 г.'!AR14</f>
        <v>10.764709450582471</v>
      </c>
      <c r="F36" s="66">
        <f>'2021 г.'!AS14</f>
        <v>9.9853900681557626</v>
      </c>
      <c r="G36" s="66">
        <f t="shared" si="0"/>
        <v>9.969036409068277</v>
      </c>
      <c r="H36" s="66">
        <f t="shared" si="1"/>
        <v>1.6353659087485539E-2</v>
      </c>
      <c r="I36" s="66">
        <f t="shared" si="2"/>
        <v>1.6353659087485539E-2</v>
      </c>
      <c r="J36" s="66">
        <f t="shared" si="3"/>
        <v>2.6744216554969836E-4</v>
      </c>
    </row>
    <row r="37" spans="1:10" x14ac:dyDescent="0.3">
      <c r="A37" s="67">
        <v>13</v>
      </c>
      <c r="B37" s="67">
        <v>9.3925371082342757</v>
      </c>
      <c r="C37" s="67">
        <v>5.4439820134621897E-3</v>
      </c>
      <c r="E37" s="66">
        <f>'2021 г.'!AR15</f>
        <v>10.021714933900778</v>
      </c>
      <c r="F37" s="66">
        <f>'2021 г.'!AS15</f>
        <v>9.3979810902477379</v>
      </c>
      <c r="G37" s="66">
        <f t="shared" si="0"/>
        <v>9.3925371082342757</v>
      </c>
      <c r="H37" s="66">
        <f t="shared" si="1"/>
        <v>5.4439820134621897E-3</v>
      </c>
      <c r="I37" s="66">
        <f t="shared" si="2"/>
        <v>5.4439820134621897E-3</v>
      </c>
      <c r="J37" s="66">
        <f t="shared" si="3"/>
        <v>2.9636940162899838E-5</v>
      </c>
    </row>
    <row r="38" spans="1:10" x14ac:dyDescent="0.3">
      <c r="A38" s="67">
        <v>14</v>
      </c>
      <c r="B38" s="67">
        <v>10.259150902561778</v>
      </c>
      <c r="C38" s="67">
        <v>0.32143066521204666</v>
      </c>
      <c r="E38" s="66">
        <f>'2021 г.'!AR16</f>
        <v>11.13861012585428</v>
      </c>
      <c r="F38" s="66">
        <f>'2021 г.'!AS16</f>
        <v>10.580581567773825</v>
      </c>
      <c r="G38" s="66">
        <f t="shared" si="0"/>
        <v>10.259150902561778</v>
      </c>
      <c r="H38" s="66">
        <f t="shared" si="1"/>
        <v>0.32143066521204666</v>
      </c>
      <c r="I38" s="66">
        <f t="shared" si="2"/>
        <v>0.32143066521204666</v>
      </c>
      <c r="J38" s="66">
        <f t="shared" si="3"/>
        <v>0.10331767253865883</v>
      </c>
    </row>
    <row r="39" spans="1:10" x14ac:dyDescent="0.3">
      <c r="A39" s="67">
        <v>15</v>
      </c>
      <c r="B39" s="67">
        <v>10.083966173759428</v>
      </c>
      <c r="C39" s="67">
        <v>-1.1537366087387078</v>
      </c>
      <c r="E39" s="66">
        <f>'2021 г.'!AR17</f>
        <v>10.912831373446055</v>
      </c>
      <c r="F39" s="66">
        <f>'2021 г.'!AS17</f>
        <v>8.9302295650207206</v>
      </c>
      <c r="G39" s="66">
        <f t="shared" si="0"/>
        <v>10.083966173759428</v>
      </c>
      <c r="H39" s="66">
        <f t="shared" si="1"/>
        <v>-1.1537366087387078</v>
      </c>
      <c r="I39" s="66">
        <f t="shared" si="2"/>
        <v>1.1537366087387078</v>
      </c>
      <c r="J39" s="66">
        <f t="shared" si="3"/>
        <v>1.3311081623438941</v>
      </c>
    </row>
    <row r="40" spans="1:10" x14ac:dyDescent="0.3">
      <c r="A40" s="67">
        <v>16</v>
      </c>
      <c r="B40" s="67">
        <v>9.536669637193242</v>
      </c>
      <c r="C40" s="67">
        <v>-4.3483870656805479E-2</v>
      </c>
      <c r="E40" s="66">
        <f>'2021 г.'!AR18</f>
        <v>10.207473491694438</v>
      </c>
      <c r="F40" s="66">
        <f>'2021 г.'!AS18</f>
        <v>9.4931857665364365</v>
      </c>
      <c r="G40" s="66">
        <f t="shared" si="0"/>
        <v>9.536669637193242</v>
      </c>
      <c r="H40" s="66">
        <f t="shared" si="1"/>
        <v>-4.3483870656805479E-2</v>
      </c>
      <c r="I40" s="66">
        <f t="shared" si="2"/>
        <v>4.3483870656805479E-2</v>
      </c>
      <c r="J40" s="66">
        <f t="shared" si="3"/>
        <v>1.8908470072977886E-3</v>
      </c>
    </row>
    <row r="41" spans="1:10" x14ac:dyDescent="0.3">
      <c r="A41" s="67">
        <v>17</v>
      </c>
      <c r="B41" s="67">
        <v>9.395358489005897</v>
      </c>
      <c r="C41" s="67">
        <v>0.28254503667666064</v>
      </c>
      <c r="E41" s="66">
        <f>'2021 г.'!AR19</f>
        <v>10.025351140292969</v>
      </c>
      <c r="F41" s="66">
        <f>'2021 г.'!AS19</f>
        <v>9.6779035256825576</v>
      </c>
      <c r="G41" s="66">
        <f t="shared" si="0"/>
        <v>9.395358489005897</v>
      </c>
      <c r="H41" s="66">
        <f t="shared" si="1"/>
        <v>0.28254503667666064</v>
      </c>
      <c r="I41" s="66">
        <f t="shared" si="2"/>
        <v>0.28254503667666064</v>
      </c>
      <c r="J41" s="66">
        <f t="shared" si="3"/>
        <v>7.9831697750615507E-2</v>
      </c>
    </row>
    <row r="42" spans="1:10" x14ac:dyDescent="0.3">
      <c r="A42" s="67">
        <v>18</v>
      </c>
      <c r="B42" s="67">
        <v>8.3456525406048936</v>
      </c>
      <c r="C42" s="67">
        <v>0.33857935074078149</v>
      </c>
      <c r="E42" s="66">
        <f>'2021 г.'!AR20</f>
        <v>8.6724860758222722</v>
      </c>
      <c r="F42" s="66">
        <f>'2021 г.'!AS20</f>
        <v>8.6842318913456751</v>
      </c>
      <c r="G42" s="66">
        <f t="shared" si="0"/>
        <v>8.3456525406048936</v>
      </c>
      <c r="H42" s="66">
        <f t="shared" si="1"/>
        <v>0.33857935074078149</v>
      </c>
      <c r="I42" s="66">
        <f t="shared" si="2"/>
        <v>0.33857935074078149</v>
      </c>
      <c r="J42" s="66">
        <f t="shared" si="3"/>
        <v>0.11463597674804914</v>
      </c>
    </row>
    <row r="43" spans="1:10" x14ac:dyDescent="0.3">
      <c r="A43" s="67">
        <v>19</v>
      </c>
      <c r="B43" s="67">
        <v>9.5169554805230625</v>
      </c>
      <c r="C43" s="67">
        <v>-1.1401744428235698</v>
      </c>
      <c r="E43" s="66">
        <f>'2021 г.'!AR21</f>
        <v>10.182065810738438</v>
      </c>
      <c r="F43" s="66">
        <f>'2021 г.'!AS21</f>
        <v>8.3767810376994927</v>
      </c>
      <c r="G43" s="66">
        <f t="shared" si="0"/>
        <v>9.5169554805230625</v>
      </c>
      <c r="H43" s="66">
        <f t="shared" si="1"/>
        <v>-1.1401744428235698</v>
      </c>
      <c r="I43" s="66">
        <f t="shared" si="2"/>
        <v>1.1401744428235698</v>
      </c>
      <c r="J43" s="66">
        <f t="shared" si="3"/>
        <v>1.2999977600680379</v>
      </c>
    </row>
    <row r="44" spans="1:10" x14ac:dyDescent="0.3">
      <c r="A44" s="67">
        <v>20</v>
      </c>
      <c r="B44" s="67">
        <v>10.256619667484358</v>
      </c>
      <c r="C44" s="67">
        <v>0.57241563818860186</v>
      </c>
      <c r="E44" s="66">
        <f>'2021 г.'!AR22</f>
        <v>11.135347860348954</v>
      </c>
      <c r="F44" s="66">
        <f>'2021 г.'!AS22</f>
        <v>10.82903530567296</v>
      </c>
      <c r="G44" s="66">
        <f t="shared" si="0"/>
        <v>10.256619667484358</v>
      </c>
      <c r="H44" s="66">
        <f t="shared" si="1"/>
        <v>0.57241563818860186</v>
      </c>
      <c r="I44" s="66">
        <f t="shared" si="2"/>
        <v>0.57241563818860186</v>
      </c>
      <c r="J44" s="66">
        <f t="shared" si="3"/>
        <v>0.32765966284286435</v>
      </c>
    </row>
    <row r="45" spans="1:10" x14ac:dyDescent="0.3">
      <c r="A45" s="67">
        <v>21</v>
      </c>
      <c r="B45" s="67">
        <v>9.5903337906924122</v>
      </c>
      <c r="C45" s="67">
        <v>0.26364834193987718</v>
      </c>
      <c r="E45" s="66">
        <f>'2021 г.'!AR23</f>
        <v>10.27663605916775</v>
      </c>
      <c r="F45" s="66">
        <f>'2021 г.'!AS23</f>
        <v>9.8539821326322894</v>
      </c>
      <c r="G45" s="66">
        <f t="shared" si="0"/>
        <v>9.5903337906924122</v>
      </c>
      <c r="H45" s="66">
        <f t="shared" si="1"/>
        <v>0.26364834193987718</v>
      </c>
      <c r="I45" s="66">
        <f t="shared" si="2"/>
        <v>0.26364834193987718</v>
      </c>
      <c r="J45" s="66">
        <f t="shared" si="3"/>
        <v>6.9510448207646403E-2</v>
      </c>
    </row>
    <row r="46" spans="1:10" x14ac:dyDescent="0.3">
      <c r="A46" s="67">
        <v>22</v>
      </c>
      <c r="B46" s="67">
        <v>8.9301388502771246</v>
      </c>
      <c r="C46" s="67">
        <v>0.16669682090223681</v>
      </c>
      <c r="E46" s="66">
        <f>'2021 г.'!AR24</f>
        <v>9.4257742802203399</v>
      </c>
      <c r="F46" s="66">
        <f>'2021 г.'!AS24</f>
        <v>9.0968356711793614</v>
      </c>
      <c r="G46" s="66">
        <f t="shared" si="0"/>
        <v>8.9301388502771246</v>
      </c>
      <c r="H46" s="66">
        <f t="shared" si="1"/>
        <v>0.16669682090223681</v>
      </c>
      <c r="I46" s="66">
        <f t="shared" si="2"/>
        <v>0.16669682090223681</v>
      </c>
      <c r="J46" s="66">
        <f t="shared" si="3"/>
        <v>2.7787830098912416E-2</v>
      </c>
    </row>
    <row r="47" spans="1:10" x14ac:dyDescent="0.3">
      <c r="A47" s="67">
        <v>23</v>
      </c>
      <c r="B47" s="67">
        <v>10.032527531725801</v>
      </c>
      <c r="C47" s="67">
        <v>0.72594965210787699</v>
      </c>
      <c r="E47" s="66">
        <f>'2021 г.'!AR25</f>
        <v>10.846537053710975</v>
      </c>
      <c r="F47" s="66">
        <f>'2021 г.'!AS25</f>
        <v>10.758477183833678</v>
      </c>
      <c r="G47" s="66">
        <f t="shared" si="0"/>
        <v>10.032527531725801</v>
      </c>
      <c r="H47" s="66">
        <f t="shared" si="1"/>
        <v>0.72594965210787699</v>
      </c>
      <c r="I47" s="66">
        <f t="shared" si="2"/>
        <v>0.72594965210787699</v>
      </c>
      <c r="J47" s="66">
        <f t="shared" si="3"/>
        <v>0.52700289739554762</v>
      </c>
    </row>
    <row r="48" spans="1:10" x14ac:dyDescent="0.3">
      <c r="A48" s="67">
        <v>24</v>
      </c>
      <c r="B48" s="67">
        <v>9.5222228734689107</v>
      </c>
      <c r="C48" s="67">
        <v>7.7791920709112006E-2</v>
      </c>
      <c r="E48" s="66">
        <f>'2021 г.'!AR26</f>
        <v>10.18885444703047</v>
      </c>
      <c r="F48" s="66">
        <f>'2021 г.'!AS26</f>
        <v>9.6000147941780227</v>
      </c>
      <c r="G48" s="66">
        <f t="shared" si="0"/>
        <v>9.5222228734689107</v>
      </c>
      <c r="H48" s="66">
        <f t="shared" si="1"/>
        <v>7.7791920709112006E-2</v>
      </c>
      <c r="I48" s="66">
        <f t="shared" si="2"/>
        <v>7.7791920709112006E-2</v>
      </c>
      <c r="J48" s="66">
        <f t="shared" si="3"/>
        <v>6.0515829276127694E-3</v>
      </c>
    </row>
    <row r="49" spans="1:10" x14ac:dyDescent="0.3">
      <c r="A49" s="67">
        <v>25</v>
      </c>
      <c r="B49" s="67">
        <v>9.3857862307768833</v>
      </c>
      <c r="C49" s="67">
        <v>0.12746959429166971</v>
      </c>
      <c r="E49" s="66">
        <f>'2021 г.'!AR27</f>
        <v>10.013014377063371</v>
      </c>
      <c r="F49" s="66">
        <f>'2021 г.'!AS27</f>
        <v>9.5132558250685531</v>
      </c>
      <c r="G49" s="66">
        <f t="shared" si="0"/>
        <v>9.3857862307768833</v>
      </c>
      <c r="H49" s="66">
        <f t="shared" si="1"/>
        <v>0.12746959429166971</v>
      </c>
      <c r="I49" s="66">
        <f t="shared" si="2"/>
        <v>0.12746959429166971</v>
      </c>
      <c r="J49" s="66">
        <f t="shared" si="3"/>
        <v>1.6248497468882874E-2</v>
      </c>
    </row>
    <row r="50" spans="1:10" x14ac:dyDescent="0.3">
      <c r="A50" s="67">
        <v>26</v>
      </c>
      <c r="B50" s="67">
        <v>9.8324122918262766</v>
      </c>
      <c r="C50" s="67">
        <v>0.37458146850851826</v>
      </c>
      <c r="E50" s="66">
        <f>'2021 г.'!AR28</f>
        <v>10.588627762694157</v>
      </c>
      <c r="F50" s="66">
        <f>'2021 г.'!AS28</f>
        <v>10.206993760334795</v>
      </c>
      <c r="G50" s="66">
        <f t="shared" si="0"/>
        <v>9.8324122918262766</v>
      </c>
      <c r="H50" s="66">
        <f t="shared" si="1"/>
        <v>0.37458146850851826</v>
      </c>
      <c r="I50" s="66">
        <f t="shared" si="2"/>
        <v>0.37458146850851826</v>
      </c>
      <c r="J50" s="66">
        <f t="shared" si="3"/>
        <v>0.14031127654999806</v>
      </c>
    </row>
    <row r="51" spans="1:10" x14ac:dyDescent="0.3">
      <c r="A51" s="67">
        <v>27</v>
      </c>
      <c r="B51" s="67">
        <v>9.5077694722732993</v>
      </c>
      <c r="C51" s="67">
        <v>-2.9465158711438733E-2</v>
      </c>
      <c r="E51" s="66">
        <f>'2021 г.'!AR29</f>
        <v>10.170226847967983</v>
      </c>
      <c r="F51" s="66">
        <f>'2021 г.'!AS29</f>
        <v>9.4783043135618605</v>
      </c>
      <c r="G51" s="66">
        <f t="shared" si="0"/>
        <v>9.5077694722732993</v>
      </c>
      <c r="H51" s="66">
        <f t="shared" si="1"/>
        <v>-2.9465158711438733E-2</v>
      </c>
      <c r="I51" s="66">
        <f t="shared" si="2"/>
        <v>2.9465158711438733E-2</v>
      </c>
      <c r="J51" s="66">
        <f t="shared" si="3"/>
        <v>8.6819557789027382E-4</v>
      </c>
    </row>
    <row r="52" spans="1:10" x14ac:dyDescent="0.3">
      <c r="A52" s="67">
        <v>28</v>
      </c>
      <c r="B52" s="67">
        <v>8.1046972001851323</v>
      </c>
      <c r="C52" s="67">
        <v>-0.25615371772845297</v>
      </c>
      <c r="E52" s="66">
        <f>'2021 г.'!AR30</f>
        <v>8.3619419061449456</v>
      </c>
      <c r="F52" s="66">
        <f>'2021 г.'!AS30</f>
        <v>7.8485434824566793</v>
      </c>
      <c r="G52" s="66">
        <f t="shared" si="0"/>
        <v>8.1046972001851323</v>
      </c>
      <c r="H52" s="66">
        <f t="shared" si="1"/>
        <v>-0.25615371772845297</v>
      </c>
      <c r="I52" s="66">
        <f t="shared" si="2"/>
        <v>0.25615371772845297</v>
      </c>
      <c r="J52" s="66">
        <f t="shared" si="3"/>
        <v>6.5614727106107953E-2</v>
      </c>
    </row>
    <row r="53" spans="1:10" x14ac:dyDescent="0.3">
      <c r="A53" s="67">
        <v>29</v>
      </c>
      <c r="B53" s="67">
        <v>9.3787305199893538</v>
      </c>
      <c r="C53" s="67">
        <v>2.1899578429961153E-2</v>
      </c>
      <c r="E53" s="66">
        <f>'2021 г.'!AR31</f>
        <v>10.003920949857399</v>
      </c>
      <c r="F53" s="66">
        <f>'2021 г.'!AS31</f>
        <v>9.400630098419315</v>
      </c>
      <c r="G53" s="66">
        <f t="shared" si="0"/>
        <v>9.3787305199893538</v>
      </c>
      <c r="H53" s="66">
        <f t="shared" si="1"/>
        <v>2.1899578429961153E-2</v>
      </c>
      <c r="I53" s="66">
        <f t="shared" si="2"/>
        <v>2.1899578429961153E-2</v>
      </c>
      <c r="J53" s="66">
        <f t="shared" si="3"/>
        <v>4.7959153541001978E-4</v>
      </c>
    </row>
    <row r="54" spans="1:10" x14ac:dyDescent="0.3">
      <c r="A54" s="67">
        <v>30</v>
      </c>
      <c r="B54" s="67">
        <v>7.3063453841275567</v>
      </c>
      <c r="C54" s="67">
        <v>-0.55875885729824137</v>
      </c>
      <c r="E54" s="66">
        <f>'2021 г.'!AR32</f>
        <v>7.3330230143864812</v>
      </c>
      <c r="F54" s="66">
        <f>'2021 г.'!AS32</f>
        <v>6.7475865268293154</v>
      </c>
      <c r="G54" s="66">
        <f t="shared" si="0"/>
        <v>7.3063453841275567</v>
      </c>
      <c r="H54" s="66">
        <f t="shared" si="1"/>
        <v>-0.55875885729824137</v>
      </c>
      <c r="I54" s="66">
        <f t="shared" si="2"/>
        <v>0.55875885729824137</v>
      </c>
      <c r="J54" s="66">
        <f t="shared" si="3"/>
        <v>0.31221146060923649</v>
      </c>
    </row>
    <row r="55" spans="1:10" x14ac:dyDescent="0.3">
      <c r="A55" s="67">
        <v>31</v>
      </c>
      <c r="B55" s="67">
        <v>10.297890535263619</v>
      </c>
      <c r="C55" s="67">
        <v>0.31190718435873599</v>
      </c>
      <c r="E55" s="66">
        <f>'2021 г.'!AR33</f>
        <v>11.188537913510032</v>
      </c>
      <c r="F55" s="66">
        <f>'2021 г.'!AS33</f>
        <v>10.609797719622355</v>
      </c>
      <c r="G55" s="66">
        <f t="shared" si="0"/>
        <v>10.297890535263619</v>
      </c>
      <c r="H55" s="66">
        <f t="shared" si="1"/>
        <v>0.31190718435873599</v>
      </c>
      <c r="I55" s="66">
        <f t="shared" si="2"/>
        <v>0.31190718435873599</v>
      </c>
      <c r="J55" s="66">
        <f t="shared" si="3"/>
        <v>9.7286091654594523E-2</v>
      </c>
    </row>
    <row r="56" spans="1:10" x14ac:dyDescent="0.3">
      <c r="A56" s="67">
        <v>32</v>
      </c>
      <c r="B56" s="67">
        <v>8.9166992359431685</v>
      </c>
      <c r="C56" s="67">
        <v>0.35473623539282428</v>
      </c>
      <c r="E56" s="66">
        <f>'2021 г.'!AR34</f>
        <v>9.4084532535651455</v>
      </c>
      <c r="F56" s="66">
        <f>'2021 г.'!AS34</f>
        <v>9.2714354713359928</v>
      </c>
      <c r="G56" s="66">
        <f t="shared" si="0"/>
        <v>8.9166992359431685</v>
      </c>
      <c r="H56" s="66">
        <f t="shared" si="1"/>
        <v>0.35473623539282428</v>
      </c>
      <c r="I56" s="66">
        <f t="shared" si="2"/>
        <v>0.35473623539282428</v>
      </c>
      <c r="J56" s="66">
        <f t="shared" si="3"/>
        <v>0.12583779670067324</v>
      </c>
    </row>
    <row r="57" spans="1:10" x14ac:dyDescent="0.3">
      <c r="A57" s="67">
        <v>33</v>
      </c>
      <c r="B57" s="67">
        <v>10.442164812298142</v>
      </c>
      <c r="C57" s="67">
        <v>0.3042467636161561</v>
      </c>
      <c r="E57" s="66">
        <f>'2021 г.'!AR35</f>
        <v>11.374479156768768</v>
      </c>
      <c r="F57" s="66">
        <f>'2021 г.'!AS35</f>
        <v>10.746411575914298</v>
      </c>
      <c r="G57" s="66">
        <f t="shared" si="0"/>
        <v>10.442164812298142</v>
      </c>
      <c r="H57" s="66">
        <f t="shared" si="1"/>
        <v>0.3042467636161561</v>
      </c>
      <c r="I57" s="66">
        <f t="shared" si="2"/>
        <v>0.3042467636161561</v>
      </c>
      <c r="J57" s="66">
        <f t="shared" si="3"/>
        <v>9.2566093170905167E-2</v>
      </c>
    </row>
    <row r="58" spans="1:10" x14ac:dyDescent="0.3">
      <c r="A58" s="67">
        <v>34</v>
      </c>
      <c r="B58" s="67">
        <v>10.204821034175175</v>
      </c>
      <c r="C58" s="67">
        <v>-0.12633030565277181</v>
      </c>
      <c r="E58" s="66">
        <f>'2021 г.'!AR36</f>
        <v>11.06858958247307</v>
      </c>
      <c r="F58" s="66">
        <f>'2021 г.'!AS36</f>
        <v>10.078490728522404</v>
      </c>
      <c r="G58" s="66">
        <f t="shared" si="0"/>
        <v>10.204821034175175</v>
      </c>
      <c r="H58" s="66">
        <f t="shared" si="1"/>
        <v>-0.12633030565277181</v>
      </c>
      <c r="I58" s="66">
        <f t="shared" si="2"/>
        <v>0.12633030565277181</v>
      </c>
      <c r="J58" s="66">
        <f t="shared" si="3"/>
        <v>1.595934612632275E-2</v>
      </c>
    </row>
    <row r="59" spans="1:10" x14ac:dyDescent="0.3">
      <c r="A59" s="67">
        <v>35</v>
      </c>
      <c r="B59" s="67">
        <v>9.8975673933229196</v>
      </c>
      <c r="C59" s="67">
        <v>0.22862361369901407</v>
      </c>
      <c r="E59" s="66">
        <f>'2021 г.'!AR37</f>
        <v>10.672599908151774</v>
      </c>
      <c r="F59" s="66">
        <f>'2021 г.'!AS37</f>
        <v>10.126191007021934</v>
      </c>
      <c r="G59" s="66">
        <f t="shared" si="0"/>
        <v>9.8975673933229196</v>
      </c>
      <c r="H59" s="66">
        <f t="shared" si="1"/>
        <v>0.22862361369901407</v>
      </c>
      <c r="I59" s="66">
        <f t="shared" si="2"/>
        <v>0.22862361369901407</v>
      </c>
      <c r="J59" s="66">
        <f t="shared" si="3"/>
        <v>5.2268756740796014E-2</v>
      </c>
    </row>
    <row r="60" spans="1:10" x14ac:dyDescent="0.3">
      <c r="A60" s="67">
        <v>36</v>
      </c>
      <c r="B60" s="67">
        <v>9.1438358170086325</v>
      </c>
      <c r="C60" s="67">
        <v>-0.13793991891417434</v>
      </c>
      <c r="E60" s="66">
        <f>'2021 г.'!AR38</f>
        <v>9.7011877530265078</v>
      </c>
      <c r="F60" s="66">
        <f>'2021 г.'!AS38</f>
        <v>9.0058958980944581</v>
      </c>
      <c r="G60" s="66">
        <f t="shared" si="0"/>
        <v>9.1438358170086325</v>
      </c>
      <c r="H60" s="66">
        <f t="shared" si="1"/>
        <v>-0.13793991891417434</v>
      </c>
      <c r="I60" s="66">
        <f t="shared" si="2"/>
        <v>0.13793991891417434</v>
      </c>
      <c r="J60" s="66">
        <f t="shared" si="3"/>
        <v>1.9027421230048993E-2</v>
      </c>
    </row>
    <row r="61" spans="1:10" x14ac:dyDescent="0.3">
      <c r="A61" s="67">
        <v>37</v>
      </c>
      <c r="B61" s="67">
        <v>9.5602395012408063</v>
      </c>
      <c r="C61" s="67">
        <v>-5.2019231836396784E-2</v>
      </c>
      <c r="E61" s="66">
        <f>'2021 г.'!AR39</f>
        <v>10.237850423151144</v>
      </c>
      <c r="F61" s="66">
        <f>'2021 г.'!AS39</f>
        <v>9.5082202694044096</v>
      </c>
      <c r="G61" s="66">
        <f t="shared" si="0"/>
        <v>9.5602395012408063</v>
      </c>
      <c r="H61" s="66">
        <f t="shared" si="1"/>
        <v>-5.2019231836396784E-2</v>
      </c>
      <c r="I61" s="66">
        <f t="shared" si="2"/>
        <v>5.2019231836396784E-2</v>
      </c>
      <c r="J61" s="66">
        <f t="shared" si="3"/>
        <v>2.7060004808487966E-3</v>
      </c>
    </row>
    <row r="62" spans="1:10" x14ac:dyDescent="0.3">
      <c r="A62" s="67">
        <v>38</v>
      </c>
      <c r="B62" s="67">
        <v>10.104518874388049</v>
      </c>
      <c r="C62" s="67">
        <v>0.50685667702952308</v>
      </c>
      <c r="E62" s="66">
        <f>'2021 г.'!AR40</f>
        <v>10.939319773081531</v>
      </c>
      <c r="F62" s="66">
        <f>'2021 г.'!AS40</f>
        <v>10.611375551417572</v>
      </c>
      <c r="G62" s="66">
        <f t="shared" si="0"/>
        <v>10.104518874388049</v>
      </c>
      <c r="H62" s="66">
        <f t="shared" si="1"/>
        <v>0.50685667702952308</v>
      </c>
      <c r="I62" s="66">
        <f t="shared" si="2"/>
        <v>0.50685667702952308</v>
      </c>
      <c r="J62" s="66">
        <f t="shared" si="3"/>
        <v>0.2569036910494103</v>
      </c>
    </row>
    <row r="63" spans="1:10" x14ac:dyDescent="0.3">
      <c r="A63" s="67">
        <v>39</v>
      </c>
      <c r="B63" s="67">
        <v>9.8542373154437861</v>
      </c>
      <c r="C63" s="67">
        <v>0.61166211232976586</v>
      </c>
      <c r="E63" s="66">
        <f>'2021 г.'!AR41</f>
        <v>10.616755937092288</v>
      </c>
      <c r="F63" s="66">
        <f>'2021 г.'!AS41</f>
        <v>10.465899427773552</v>
      </c>
      <c r="G63" s="66">
        <f t="shared" si="0"/>
        <v>9.8542373154437861</v>
      </c>
      <c r="H63" s="66">
        <f t="shared" si="1"/>
        <v>0.61166211232976586</v>
      </c>
      <c r="I63" s="66">
        <f t="shared" si="2"/>
        <v>0.61166211232976586</v>
      </c>
      <c r="J63" s="66">
        <f t="shared" si="3"/>
        <v>0.3741305396597111</v>
      </c>
    </row>
    <row r="64" spans="1:10" x14ac:dyDescent="0.3">
      <c r="A64" s="67">
        <v>40</v>
      </c>
      <c r="B64" s="67">
        <v>9.0605374516241586</v>
      </c>
      <c r="C64" s="67">
        <v>-2.7292317470349658E-2</v>
      </c>
      <c r="E64" s="66">
        <f>'2021 г.'!AR42</f>
        <v>9.5938324992739403</v>
      </c>
      <c r="F64" s="66">
        <f>'2021 г.'!AS42</f>
        <v>9.0332451341538089</v>
      </c>
      <c r="G64" s="66">
        <f t="shared" si="0"/>
        <v>9.0605374516241586</v>
      </c>
      <c r="H64" s="66">
        <f t="shared" si="1"/>
        <v>-2.7292317470349658E-2</v>
      </c>
      <c r="I64" s="66">
        <f t="shared" si="2"/>
        <v>2.7292317470349658E-2</v>
      </c>
      <c r="J64" s="66">
        <f t="shared" si="3"/>
        <v>7.4487059290235321E-4</v>
      </c>
    </row>
    <row r="65" spans="1:10" x14ac:dyDescent="0.3">
      <c r="A65" s="67">
        <v>41</v>
      </c>
      <c r="B65" s="67">
        <v>9.2108621299082856</v>
      </c>
      <c r="C65" s="67">
        <v>-0.79991873833475857</v>
      </c>
      <c r="E65" s="66">
        <f>'2021 г.'!AR43</f>
        <v>9.7875715229387854</v>
      </c>
      <c r="F65" s="66">
        <f>'2021 г.'!AS43</f>
        <v>8.410943391573527</v>
      </c>
      <c r="G65" s="66">
        <f t="shared" si="0"/>
        <v>9.2108621299082856</v>
      </c>
      <c r="H65" s="66">
        <f t="shared" si="1"/>
        <v>-0.79991873833475857</v>
      </c>
      <c r="I65" s="66">
        <f t="shared" si="2"/>
        <v>0.79991873833475857</v>
      </c>
      <c r="J65" s="66">
        <f t="shared" si="3"/>
        <v>0.6398699879390719</v>
      </c>
    </row>
    <row r="66" spans="1:10" x14ac:dyDescent="0.3">
      <c r="A66" s="67">
        <v>42</v>
      </c>
      <c r="B66" s="67">
        <v>8.8567804480717882</v>
      </c>
      <c r="C66" s="67">
        <v>-0.38835742102497939</v>
      </c>
      <c r="E66" s="66">
        <f>'2021 г.'!AR44</f>
        <v>9.3312296892516358</v>
      </c>
      <c r="F66" s="66">
        <f>'2021 г.'!AS44</f>
        <v>8.4684230270468088</v>
      </c>
      <c r="G66" s="66">
        <f t="shared" si="0"/>
        <v>8.8567804480717882</v>
      </c>
      <c r="H66" s="66">
        <f t="shared" si="1"/>
        <v>-0.38835742102497939</v>
      </c>
      <c r="I66" s="66">
        <f t="shared" si="2"/>
        <v>0.38835742102497939</v>
      </c>
      <c r="J66" s="66">
        <f t="shared" si="3"/>
        <v>0.1508214864651731</v>
      </c>
    </row>
    <row r="67" spans="1:10" x14ac:dyDescent="0.3">
      <c r="A67" s="67">
        <v>43</v>
      </c>
      <c r="B67" s="67">
        <v>10.426101981453087</v>
      </c>
      <c r="C67" s="67">
        <v>0.44126574655011019</v>
      </c>
      <c r="E67" s="66">
        <f>'2021 г.'!AR45</f>
        <v>11.353777318582678</v>
      </c>
      <c r="F67" s="66">
        <f>'2021 г.'!AS45</f>
        <v>10.867367728003197</v>
      </c>
      <c r="G67" s="66">
        <f t="shared" si="0"/>
        <v>10.426101981453087</v>
      </c>
      <c r="H67" s="66">
        <f t="shared" si="1"/>
        <v>0.44126574655011019</v>
      </c>
      <c r="I67" s="66">
        <f t="shared" si="2"/>
        <v>0.44126574655011019</v>
      </c>
      <c r="J67" s="66">
        <f t="shared" si="3"/>
        <v>0.19471545907842608</v>
      </c>
    </row>
    <row r="68" spans="1:10" x14ac:dyDescent="0.3">
      <c r="A68" s="67">
        <v>44</v>
      </c>
      <c r="B68" s="67">
        <v>9.8611833247303373</v>
      </c>
      <c r="C68" s="67">
        <v>8.0081592139821467E-2</v>
      </c>
      <c r="E68" s="66">
        <f>'2021 г.'!AR46</f>
        <v>10.62570798058178</v>
      </c>
      <c r="F68" s="66">
        <f>'2021 г.'!AS46</f>
        <v>9.9412649168701588</v>
      </c>
      <c r="G68" s="66">
        <f t="shared" si="0"/>
        <v>9.8611833247303373</v>
      </c>
      <c r="H68" s="66">
        <f t="shared" si="1"/>
        <v>8.0081592139821467E-2</v>
      </c>
      <c r="I68" s="66">
        <f t="shared" si="2"/>
        <v>8.0081592139821467E-2</v>
      </c>
      <c r="J68" s="66">
        <f t="shared" si="3"/>
        <v>6.4130613996487154E-3</v>
      </c>
    </row>
    <row r="69" spans="1:10" x14ac:dyDescent="0.3">
      <c r="A69" s="67">
        <v>45</v>
      </c>
      <c r="B69" s="67">
        <v>10.411490872852831</v>
      </c>
      <c r="C69" s="67">
        <v>-2.7603706971501305</v>
      </c>
      <c r="E69" s="66">
        <f>'2021 г.'!AR47</f>
        <v>11.334946465610392</v>
      </c>
      <c r="F69" s="66">
        <f>'2021 г.'!AS47</f>
        <v>7.6511201757027001</v>
      </c>
      <c r="G69" s="66">
        <f t="shared" si="0"/>
        <v>10.411490872852831</v>
      </c>
      <c r="H69" s="66">
        <f t="shared" si="1"/>
        <v>-2.7603706971501305</v>
      </c>
      <c r="I69" s="66">
        <f t="shared" si="2"/>
        <v>2.7603706971501305</v>
      </c>
      <c r="J69" s="66">
        <f t="shared" si="3"/>
        <v>7.6196463856850976</v>
      </c>
    </row>
    <row r="70" spans="1:10" x14ac:dyDescent="0.3">
      <c r="A70" s="67">
        <v>46</v>
      </c>
      <c r="B70" s="67">
        <v>8.9051574656064325</v>
      </c>
      <c r="C70" s="67">
        <v>-0.91899260527370519</v>
      </c>
      <c r="E70" s="66">
        <f>'2021 г.'!AR48</f>
        <v>9.3935781755544898</v>
      </c>
      <c r="F70" s="66">
        <f>'2021 г.'!AS48</f>
        <v>7.9861648603327273</v>
      </c>
      <c r="G70" s="66">
        <f t="shared" si="0"/>
        <v>8.9051574656064325</v>
      </c>
      <c r="H70" s="66">
        <f t="shared" si="1"/>
        <v>-0.91899260527370519</v>
      </c>
      <c r="I70" s="66">
        <f t="shared" si="2"/>
        <v>0.91899260527370519</v>
      </c>
      <c r="J70" s="66">
        <f t="shared" si="3"/>
        <v>0.84454740854775212</v>
      </c>
    </row>
    <row r="71" spans="1:10" x14ac:dyDescent="0.3">
      <c r="A71" s="67">
        <v>47</v>
      </c>
      <c r="B71" s="67">
        <v>9.2039043973017804</v>
      </c>
      <c r="C71" s="67">
        <v>0.31905453241621551</v>
      </c>
      <c r="E71" s="66">
        <f>'2021 г.'!AR49</f>
        <v>9.7786043703894379</v>
      </c>
      <c r="F71" s="66">
        <f>'2021 г.'!AS49</f>
        <v>9.522958929717996</v>
      </c>
      <c r="G71" s="66">
        <f t="shared" si="0"/>
        <v>9.2039043973017804</v>
      </c>
      <c r="H71" s="66">
        <f t="shared" si="1"/>
        <v>0.31905453241621551</v>
      </c>
      <c r="I71" s="66">
        <f t="shared" si="2"/>
        <v>0.31905453241621551</v>
      </c>
      <c r="J71" s="66">
        <f t="shared" si="3"/>
        <v>0.10179579465532991</v>
      </c>
    </row>
    <row r="72" spans="1:10" x14ac:dyDescent="0.3">
      <c r="A72" s="67">
        <v>48</v>
      </c>
      <c r="B72" s="67">
        <v>9.5301729929210257</v>
      </c>
      <c r="C72" s="67">
        <v>8.7364320008079588E-2</v>
      </c>
      <c r="E72" s="66">
        <f>'2021 г.'!AR50</f>
        <v>10.199100591564108</v>
      </c>
      <c r="F72" s="66">
        <f>'2021 г.'!AS50</f>
        <v>9.6175373129291053</v>
      </c>
      <c r="G72" s="66">
        <f t="shared" si="0"/>
        <v>9.5301729929210257</v>
      </c>
      <c r="H72" s="66">
        <f t="shared" si="1"/>
        <v>8.7364320008079588E-2</v>
      </c>
      <c r="I72" s="66">
        <f t="shared" si="2"/>
        <v>8.7364320008079588E-2</v>
      </c>
      <c r="J72" s="66">
        <f t="shared" si="3"/>
        <v>7.6325244104741355E-3</v>
      </c>
    </row>
    <row r="73" spans="1:10" x14ac:dyDescent="0.3">
      <c r="A73" s="67">
        <v>49</v>
      </c>
      <c r="B73" s="67">
        <v>10.074935308084207</v>
      </c>
      <c r="C73" s="67">
        <v>-0.13574283092730255</v>
      </c>
      <c r="E73" s="66">
        <f>'2021 г.'!AR51</f>
        <v>10.901192359022497</v>
      </c>
      <c r="F73" s="66">
        <f>'2021 г.'!AS51</f>
        <v>9.9391924771569045</v>
      </c>
      <c r="G73" s="66">
        <f t="shared" si="0"/>
        <v>10.074935308084207</v>
      </c>
      <c r="H73" s="66">
        <f t="shared" si="1"/>
        <v>-0.13574283092730255</v>
      </c>
      <c r="I73" s="66">
        <f t="shared" si="2"/>
        <v>0.13574283092730255</v>
      </c>
      <c r="J73" s="66">
        <f t="shared" si="3"/>
        <v>1.8426116148158245E-2</v>
      </c>
    </row>
    <row r="74" spans="1:10" x14ac:dyDescent="0.3">
      <c r="A74" s="67">
        <v>50</v>
      </c>
      <c r="B74" s="67">
        <v>9.2155961036658525</v>
      </c>
      <c r="C74" s="67">
        <v>-0.2723511705330619</v>
      </c>
      <c r="E74" s="66">
        <f>'2021 г.'!AR52</f>
        <v>9.7936726865289216</v>
      </c>
      <c r="F74" s="66">
        <f>'2021 г.'!AS52</f>
        <v>8.9432449331327906</v>
      </c>
      <c r="G74" s="66">
        <f t="shared" si="0"/>
        <v>9.2155961036658525</v>
      </c>
      <c r="H74" s="66">
        <f t="shared" si="1"/>
        <v>-0.2723511705330619</v>
      </c>
      <c r="I74" s="66">
        <f t="shared" si="2"/>
        <v>0.2723511705330619</v>
      </c>
      <c r="J74" s="66">
        <f t="shared" si="3"/>
        <v>7.417516009072897E-2</v>
      </c>
    </row>
    <row r="75" spans="1:10" x14ac:dyDescent="0.3">
      <c r="A75" s="67">
        <v>51</v>
      </c>
      <c r="B75" s="67">
        <v>9.207500452327114</v>
      </c>
      <c r="C75" s="67">
        <v>-0.15580417379052847</v>
      </c>
      <c r="E75" s="66">
        <f>'2021 г.'!AR53</f>
        <v>9.7832389799399522</v>
      </c>
      <c r="F75" s="66">
        <f>'2021 г.'!AS53</f>
        <v>9.0516962785365855</v>
      </c>
      <c r="G75" s="66">
        <f t="shared" si="0"/>
        <v>9.207500452327114</v>
      </c>
      <c r="H75" s="66">
        <f t="shared" si="1"/>
        <v>-0.15580417379052847</v>
      </c>
      <c r="I75" s="66">
        <f t="shared" si="2"/>
        <v>0.15580417379052847</v>
      </c>
      <c r="J75" s="66">
        <f t="shared" si="3"/>
        <v>2.4274940570549196E-2</v>
      </c>
    </row>
    <row r="76" spans="1:10" x14ac:dyDescent="0.3">
      <c r="A76" s="67">
        <v>52</v>
      </c>
      <c r="B76" s="67">
        <v>9.7334850602554113</v>
      </c>
      <c r="C76" s="67">
        <v>-0.26039588237265932</v>
      </c>
      <c r="E76" s="66">
        <f>'2021 г.'!AR54</f>
        <v>10.461129966077028</v>
      </c>
      <c r="F76" s="66">
        <f>'2021 г.'!AS54</f>
        <v>9.473089177882752</v>
      </c>
      <c r="G76" s="66">
        <f t="shared" si="0"/>
        <v>9.7334850602554113</v>
      </c>
      <c r="H76" s="66">
        <f t="shared" si="1"/>
        <v>-0.26039588237265932</v>
      </c>
      <c r="I76" s="66">
        <f t="shared" si="2"/>
        <v>0.26039588237265932</v>
      </c>
      <c r="J76" s="66">
        <f t="shared" si="3"/>
        <v>6.7806015556635832E-2</v>
      </c>
    </row>
    <row r="77" spans="1:10" x14ac:dyDescent="0.3">
      <c r="A77" s="67">
        <v>53</v>
      </c>
      <c r="B77" s="67">
        <v>9.8897250732614808</v>
      </c>
      <c r="C77" s="67">
        <v>-0.88370649835892046</v>
      </c>
      <c r="E77" s="66">
        <f>'2021 г.'!AR55</f>
        <v>10.662492695887538</v>
      </c>
      <c r="F77" s="66">
        <f>'2021 г.'!AS55</f>
        <v>9.0060185749025603</v>
      </c>
      <c r="G77" s="66">
        <f t="shared" si="0"/>
        <v>9.8897250732614808</v>
      </c>
      <c r="H77" s="66">
        <f t="shared" si="1"/>
        <v>-0.88370649835892046</v>
      </c>
      <c r="I77" s="66">
        <f t="shared" si="2"/>
        <v>0.88370649835892046</v>
      </c>
      <c r="J77" s="66">
        <f t="shared" si="3"/>
        <v>0.78093717524178463</v>
      </c>
    </row>
    <row r="78" spans="1:10" x14ac:dyDescent="0.3">
      <c r="A78" s="67">
        <v>54</v>
      </c>
      <c r="B78" s="67">
        <v>10.098436393235193</v>
      </c>
      <c r="C78" s="67">
        <v>0.7592733120096451</v>
      </c>
      <c r="E78" s="66">
        <f>'2021 г.'!AR56</f>
        <v>10.931480647972702</v>
      </c>
      <c r="F78" s="66">
        <f>'2021 г.'!AS56</f>
        <v>10.857709705244838</v>
      </c>
      <c r="G78" s="66">
        <f t="shared" si="0"/>
        <v>10.098436393235193</v>
      </c>
      <c r="H78" s="66">
        <f t="shared" si="1"/>
        <v>0.7592733120096451</v>
      </c>
      <c r="I78" s="66">
        <f t="shared" si="2"/>
        <v>0.7592733120096451</v>
      </c>
      <c r="J78" s="66">
        <f t="shared" si="3"/>
        <v>0.57649596233009592</v>
      </c>
    </row>
    <row r="79" spans="1:10" x14ac:dyDescent="0.3">
      <c r="A79" s="67">
        <v>55</v>
      </c>
      <c r="B79" s="67">
        <v>9.2986662140348884</v>
      </c>
      <c r="C79" s="67">
        <v>-0.2528467742271534</v>
      </c>
      <c r="E79" s="66">
        <f>'2021 г.'!AR57</f>
        <v>9.9007337643395061</v>
      </c>
      <c r="F79" s="66">
        <f>'2021 г.'!AS57</f>
        <v>9.045819439807735</v>
      </c>
      <c r="G79" s="66">
        <f t="shared" si="0"/>
        <v>9.2986662140348884</v>
      </c>
      <c r="H79" s="66">
        <f t="shared" si="1"/>
        <v>-0.2528467742271534</v>
      </c>
      <c r="I79" s="66">
        <f t="shared" si="2"/>
        <v>0.2528467742271534</v>
      </c>
      <c r="J79" s="66">
        <f t="shared" si="3"/>
        <v>6.3931491237077087E-2</v>
      </c>
    </row>
    <row r="80" spans="1:10" x14ac:dyDescent="0.3">
      <c r="A80" s="67">
        <v>56</v>
      </c>
      <c r="B80" s="67">
        <v>9.1433607292737609</v>
      </c>
      <c r="C80" s="67">
        <v>0.16446926397967943</v>
      </c>
      <c r="E80" s="66">
        <f>'2021 г.'!AR58</f>
        <v>9.7005754581261652</v>
      </c>
      <c r="F80" s="66">
        <f>'2021 г.'!AS58</f>
        <v>9.3078299932534403</v>
      </c>
      <c r="G80" s="66">
        <f t="shared" si="0"/>
        <v>9.1433607292737609</v>
      </c>
      <c r="H80" s="66">
        <f t="shared" si="1"/>
        <v>0.16446926397967943</v>
      </c>
      <c r="I80" s="66">
        <f t="shared" si="2"/>
        <v>0.16446926397967943</v>
      </c>
      <c r="J80" s="66">
        <f t="shared" si="3"/>
        <v>2.7050138794017475E-2</v>
      </c>
    </row>
    <row r="81" spans="1:10" x14ac:dyDescent="0.3">
      <c r="A81" s="67">
        <v>57</v>
      </c>
      <c r="B81" s="67">
        <v>10.439451045770539</v>
      </c>
      <c r="C81" s="67">
        <v>0.53798034921798354</v>
      </c>
      <c r="E81" s="66">
        <f>'2021 г.'!AR59</f>
        <v>11.370981644028259</v>
      </c>
      <c r="F81" s="66">
        <f>'2021 г.'!AS59</f>
        <v>10.977431394988523</v>
      </c>
      <c r="G81" s="66">
        <f t="shared" si="0"/>
        <v>10.439451045770539</v>
      </c>
      <c r="H81" s="66">
        <f t="shared" si="1"/>
        <v>0.53798034921798354</v>
      </c>
      <c r="I81" s="66">
        <f t="shared" si="2"/>
        <v>0.53798034921798354</v>
      </c>
      <c r="J81" s="66">
        <f t="shared" si="3"/>
        <v>0.28942285614470353</v>
      </c>
    </row>
    <row r="82" spans="1:10" x14ac:dyDescent="0.3">
      <c r="A82" s="67">
        <v>58</v>
      </c>
      <c r="B82" s="67">
        <v>9.3369583666304941</v>
      </c>
      <c r="C82" s="67">
        <v>-0.21533992471511532</v>
      </c>
      <c r="E82" s="66">
        <f>'2021 г.'!AR60</f>
        <v>9.950084837912911</v>
      </c>
      <c r="F82" s="66">
        <f>'2021 г.'!AS60</f>
        <v>9.1216184419153787</v>
      </c>
      <c r="G82" s="66">
        <f t="shared" si="0"/>
        <v>9.3369583666304941</v>
      </c>
      <c r="H82" s="66">
        <f t="shared" si="1"/>
        <v>-0.21533992471511532</v>
      </c>
      <c r="I82" s="66">
        <f t="shared" si="2"/>
        <v>0.21533992471511532</v>
      </c>
      <c r="J82" s="66">
        <f t="shared" si="3"/>
        <v>4.6371283176311534E-2</v>
      </c>
    </row>
    <row r="83" spans="1:10" x14ac:dyDescent="0.3">
      <c r="A83" s="67">
        <v>59</v>
      </c>
      <c r="B83" s="67">
        <v>10.139742630601287</v>
      </c>
      <c r="C83" s="67">
        <v>0.53570328291907643</v>
      </c>
      <c r="E83" s="66">
        <f>'2021 г.'!AR61</f>
        <v>10.984716285593358</v>
      </c>
      <c r="F83" s="66">
        <f>'2021 г.'!AS61</f>
        <v>10.675445913520363</v>
      </c>
      <c r="G83" s="66">
        <f t="shared" si="0"/>
        <v>10.139742630601287</v>
      </c>
      <c r="H83" s="66">
        <f t="shared" si="1"/>
        <v>0.53570328291907643</v>
      </c>
      <c r="I83" s="66">
        <f t="shared" si="2"/>
        <v>0.53570328291907643</v>
      </c>
      <c r="J83" s="66">
        <f t="shared" si="3"/>
        <v>0.28697800733027606</v>
      </c>
    </row>
    <row r="84" spans="1:10" x14ac:dyDescent="0.3">
      <c r="A84" s="67">
        <v>60</v>
      </c>
      <c r="B84" s="67">
        <v>10.070761369320039</v>
      </c>
      <c r="C84" s="67">
        <v>0.23254203092555414</v>
      </c>
      <c r="E84" s="66">
        <f>'2021 г.'!AR62</f>
        <v>10.895812970686281</v>
      </c>
      <c r="F84" s="66">
        <f>'2021 г.'!AS62</f>
        <v>10.303303400245593</v>
      </c>
      <c r="G84" s="66">
        <f t="shared" si="0"/>
        <v>10.070761369320039</v>
      </c>
      <c r="H84" s="66">
        <f t="shared" si="1"/>
        <v>0.23254203092555414</v>
      </c>
      <c r="I84" s="66">
        <f t="shared" si="2"/>
        <v>0.23254203092555414</v>
      </c>
      <c r="J84" s="66">
        <f t="shared" si="3"/>
        <v>5.4075796146981381E-2</v>
      </c>
    </row>
    <row r="85" spans="1:10" x14ac:dyDescent="0.3">
      <c r="A85" s="67">
        <v>61</v>
      </c>
      <c r="B85" s="67">
        <v>9.0437539381959269</v>
      </c>
      <c r="C85" s="67">
        <v>4.7352345856557676E-2</v>
      </c>
      <c r="E85" s="66">
        <f>'2021 г.'!AR63</f>
        <v>9.5722018426022153</v>
      </c>
      <c r="F85" s="66">
        <f>'2021 г.'!AS63</f>
        <v>9.0911062840524846</v>
      </c>
      <c r="G85" s="66">
        <f t="shared" si="0"/>
        <v>9.0437539381959269</v>
      </c>
      <c r="H85" s="66">
        <f t="shared" si="1"/>
        <v>4.7352345856557676E-2</v>
      </c>
      <c r="I85" s="66">
        <f t="shared" si="2"/>
        <v>4.7352345856557676E-2</v>
      </c>
      <c r="J85" s="66">
        <f t="shared" si="3"/>
        <v>2.2422446581190549E-3</v>
      </c>
    </row>
    <row r="86" spans="1:10" x14ac:dyDescent="0.3">
      <c r="A86" s="67">
        <v>62</v>
      </c>
      <c r="B86" s="67">
        <v>10.43613524866824</v>
      </c>
      <c r="C86" s="67">
        <v>0.46952711089899246</v>
      </c>
      <c r="E86" s="66">
        <f>'2021 г.'!AR64</f>
        <v>11.366708231967094</v>
      </c>
      <c r="F86" s="66">
        <f>'2021 г.'!AS64</f>
        <v>10.905662359567232</v>
      </c>
      <c r="G86" s="66">
        <f t="shared" si="0"/>
        <v>10.43613524866824</v>
      </c>
      <c r="H86" s="66">
        <f t="shared" si="1"/>
        <v>0.46952711089899246</v>
      </c>
      <c r="I86" s="66">
        <f t="shared" si="2"/>
        <v>0.46952711089899246</v>
      </c>
      <c r="J86" s="66">
        <f t="shared" si="3"/>
        <v>0.22045570786915478</v>
      </c>
    </row>
    <row r="87" spans="1:10" x14ac:dyDescent="0.3">
      <c r="A87" s="67">
        <v>63</v>
      </c>
      <c r="B87" s="67">
        <v>9.4349274935274856</v>
      </c>
      <c r="C87" s="67">
        <v>0.11281325564273281</v>
      </c>
      <c r="E87" s="66">
        <f>'2021 г.'!AR65</f>
        <v>10.076347825540569</v>
      </c>
      <c r="F87" s="66">
        <f>'2021 г.'!AS65</f>
        <v>9.5477407491702184</v>
      </c>
      <c r="G87" s="66">
        <f t="shared" si="0"/>
        <v>9.4349274935274856</v>
      </c>
      <c r="H87" s="66">
        <f t="shared" si="1"/>
        <v>0.11281325564273281</v>
      </c>
      <c r="I87" s="66">
        <f t="shared" si="2"/>
        <v>0.11281325564273281</v>
      </c>
      <c r="J87" s="66">
        <f t="shared" si="3"/>
        <v>1.2726830648712587E-2</v>
      </c>
    </row>
    <row r="88" spans="1:10" x14ac:dyDescent="0.3">
      <c r="A88" s="67">
        <v>64</v>
      </c>
      <c r="B88" s="67">
        <v>10.327001622923753</v>
      </c>
      <c r="C88" s="67">
        <v>0.10734944711487415</v>
      </c>
      <c r="E88" s="66">
        <f>'2021 г.'!AR66</f>
        <v>11.226056395275458</v>
      </c>
      <c r="F88" s="66">
        <f>'2021 г.'!AS66</f>
        <v>10.434351070038627</v>
      </c>
      <c r="G88" s="66">
        <f t="shared" si="0"/>
        <v>10.327001622923753</v>
      </c>
      <c r="H88" s="66">
        <f t="shared" si="1"/>
        <v>0.10734944711487415</v>
      </c>
      <c r="I88" s="66">
        <f t="shared" si="2"/>
        <v>0.10734944711487415</v>
      </c>
      <c r="J88" s="66">
        <f t="shared" si="3"/>
        <v>1.1523903795869163E-2</v>
      </c>
    </row>
    <row r="89" spans="1:10" x14ac:dyDescent="0.3">
      <c r="A89" s="67">
        <v>65</v>
      </c>
      <c r="B89" s="67">
        <v>9.3084082653164266</v>
      </c>
      <c r="C89" s="67">
        <v>0.20477369086935937</v>
      </c>
      <c r="E89" s="66">
        <f>'2021 г.'!AR67</f>
        <v>9.913289357508388</v>
      </c>
      <c r="F89" s="66">
        <f>'2021 г.'!AS67</f>
        <v>9.513181956185786</v>
      </c>
      <c r="G89" s="66">
        <f t="shared" si="0"/>
        <v>9.3084082653164266</v>
      </c>
      <c r="H89" s="66">
        <f t="shared" si="1"/>
        <v>0.20477369086935937</v>
      </c>
      <c r="I89" s="66">
        <f t="shared" si="2"/>
        <v>0.20477369086935937</v>
      </c>
      <c r="J89" s="66">
        <f t="shared" si="3"/>
        <v>4.193226447225995E-2</v>
      </c>
    </row>
    <row r="90" spans="1:10" x14ac:dyDescent="0.3">
      <c r="A90" s="67">
        <v>66</v>
      </c>
      <c r="B90" s="67">
        <v>9.4790163246429451</v>
      </c>
      <c r="C90" s="67">
        <v>0.45320444671605564</v>
      </c>
      <c r="E90" s="66">
        <f>'2021 г.'!AR68</f>
        <v>10.133169680689921</v>
      </c>
      <c r="F90" s="66">
        <f>'2021 г.'!AS68</f>
        <v>9.9322207713590007</v>
      </c>
      <c r="G90" s="66">
        <f t="shared" ref="G90:G104" si="4">B90</f>
        <v>9.4790163246429451</v>
      </c>
      <c r="H90" s="66">
        <f t="shared" ref="H90:H104" si="5">F90-G90</f>
        <v>0.45320444671605564</v>
      </c>
      <c r="I90" s="66">
        <f t="shared" ref="I90:I104" si="6">ABS(H90)</f>
        <v>0.45320444671605564</v>
      </c>
      <c r="J90" s="66">
        <f t="shared" ref="J90:J104" si="7">I90^2</f>
        <v>0.20539427052320611</v>
      </c>
    </row>
    <row r="91" spans="1:10" x14ac:dyDescent="0.3">
      <c r="A91" s="67">
        <v>67</v>
      </c>
      <c r="B91" s="67">
        <v>9.7776721211862316</v>
      </c>
      <c r="C91" s="67">
        <v>-4.7764445507302966E-2</v>
      </c>
      <c r="E91" s="66">
        <f>'2021 г.'!AR69</f>
        <v>10.518078420190298</v>
      </c>
      <c r="F91" s="66">
        <f>'2021 г.'!AS69</f>
        <v>9.7299076756789287</v>
      </c>
      <c r="G91" s="66">
        <f t="shared" si="4"/>
        <v>9.7776721211862316</v>
      </c>
      <c r="H91" s="66">
        <f t="shared" si="5"/>
        <v>-4.7764445507302966E-2</v>
      </c>
      <c r="I91" s="66">
        <f t="shared" si="6"/>
        <v>4.7764445507302966E-2</v>
      </c>
      <c r="J91" s="66">
        <f t="shared" si="7"/>
        <v>2.2814422546201143E-3</v>
      </c>
    </row>
    <row r="92" spans="1:10" x14ac:dyDescent="0.3">
      <c r="A92" s="67">
        <v>68</v>
      </c>
      <c r="B92" s="67">
        <v>9.649116327304462</v>
      </c>
      <c r="C92" s="67">
        <v>2.9567919504263074E-3</v>
      </c>
      <c r="E92" s="66">
        <f>'2021 г.'!AR70</f>
        <v>10.352395218487128</v>
      </c>
      <c r="F92" s="66">
        <f>'2021 г.'!AS70</f>
        <v>9.6520731192548883</v>
      </c>
      <c r="G92" s="66">
        <f t="shared" si="4"/>
        <v>9.649116327304462</v>
      </c>
      <c r="H92" s="66">
        <f t="shared" si="5"/>
        <v>2.9567919504263074E-3</v>
      </c>
      <c r="I92" s="66">
        <f t="shared" si="6"/>
        <v>2.9567919504263074E-3</v>
      </c>
      <c r="J92" s="66">
        <f t="shared" si="7"/>
        <v>8.7426186381058071E-6</v>
      </c>
    </row>
    <row r="93" spans="1:10" x14ac:dyDescent="0.3">
      <c r="A93" s="67">
        <v>69</v>
      </c>
      <c r="B93" s="67">
        <v>9.6725811198917064</v>
      </c>
      <c r="C93" s="67">
        <v>0.41987253215704534</v>
      </c>
      <c r="E93" s="66">
        <f>'2021 г.'!AR71</f>
        <v>10.382636733441567</v>
      </c>
      <c r="F93" s="66">
        <f>'2021 г.'!AS71</f>
        <v>10.092453652048752</v>
      </c>
      <c r="G93" s="66">
        <f t="shared" si="4"/>
        <v>9.6725811198917064</v>
      </c>
      <c r="H93" s="66">
        <f t="shared" si="5"/>
        <v>0.41987253215704534</v>
      </c>
      <c r="I93" s="66">
        <f t="shared" si="6"/>
        <v>0.41987253215704534</v>
      </c>
      <c r="J93" s="66">
        <f t="shared" si="7"/>
        <v>0.17629294325996908</v>
      </c>
    </row>
    <row r="94" spans="1:10" x14ac:dyDescent="0.3">
      <c r="A94" s="67">
        <v>70</v>
      </c>
      <c r="B94" s="67">
        <v>9.7031571373481782</v>
      </c>
      <c r="C94" s="67">
        <v>0.48264812514057986</v>
      </c>
      <c r="E94" s="66">
        <f>'2021 г.'!AR72</f>
        <v>10.42204322236403</v>
      </c>
      <c r="F94" s="66">
        <f>'2021 г.'!AS72</f>
        <v>10.185805262488758</v>
      </c>
      <c r="G94" s="66">
        <f t="shared" si="4"/>
        <v>9.7031571373481782</v>
      </c>
      <c r="H94" s="66">
        <f t="shared" si="5"/>
        <v>0.48264812514057986</v>
      </c>
      <c r="I94" s="66">
        <f t="shared" si="6"/>
        <v>0.48264812514057986</v>
      </c>
      <c r="J94" s="66">
        <f t="shared" si="7"/>
        <v>0.23294921270171684</v>
      </c>
    </row>
    <row r="95" spans="1:10" x14ac:dyDescent="0.3">
      <c r="A95" s="67">
        <v>71</v>
      </c>
      <c r="B95" s="67">
        <v>9.5044941898060742</v>
      </c>
      <c r="C95" s="67">
        <v>-8.9092774066447333E-2</v>
      </c>
      <c r="E95" s="66">
        <f>'2021 г.'!AR73</f>
        <v>10.16600565132436</v>
      </c>
      <c r="F95" s="66">
        <f>'2021 г.'!AS73</f>
        <v>9.4154014157396269</v>
      </c>
      <c r="G95" s="66">
        <f t="shared" si="4"/>
        <v>9.5044941898060742</v>
      </c>
      <c r="H95" s="66">
        <f t="shared" si="5"/>
        <v>-8.9092774066447333E-2</v>
      </c>
      <c r="I95" s="66">
        <f t="shared" si="6"/>
        <v>8.9092774066447333E-2</v>
      </c>
      <c r="J95" s="66">
        <f t="shared" si="7"/>
        <v>7.9375223908550313E-3</v>
      </c>
    </row>
    <row r="96" spans="1:10" x14ac:dyDescent="0.3">
      <c r="A96" s="67">
        <v>72</v>
      </c>
      <c r="B96" s="67">
        <v>9.35853978276511</v>
      </c>
      <c r="C96" s="67">
        <v>0.63966686582885046</v>
      </c>
      <c r="E96" s="66">
        <f>'2021 г.'!AR74</f>
        <v>9.9778990500499383</v>
      </c>
      <c r="F96" s="66">
        <f>'2021 г.'!AS74</f>
        <v>9.9982066485939605</v>
      </c>
      <c r="G96" s="66">
        <f t="shared" si="4"/>
        <v>9.35853978276511</v>
      </c>
      <c r="H96" s="66">
        <f t="shared" si="5"/>
        <v>0.63966686582885046</v>
      </c>
      <c r="I96" s="66">
        <f t="shared" si="6"/>
        <v>0.63966686582885046</v>
      </c>
      <c r="J96" s="66">
        <f t="shared" si="7"/>
        <v>0.40917369923930458</v>
      </c>
    </row>
    <row r="97" spans="1:10" x14ac:dyDescent="0.3">
      <c r="A97" s="67">
        <v>73</v>
      </c>
      <c r="B97" s="67">
        <v>9.4560473394804028</v>
      </c>
      <c r="C97" s="67">
        <v>0.48608383664793031</v>
      </c>
      <c r="E97" s="66">
        <f>'2021 г.'!AR75</f>
        <v>10.103567164251785</v>
      </c>
      <c r="F97" s="66">
        <f>'2021 г.'!AS75</f>
        <v>9.9421311761283331</v>
      </c>
      <c r="G97" s="66">
        <f t="shared" si="4"/>
        <v>9.4560473394804028</v>
      </c>
      <c r="H97" s="66">
        <f t="shared" si="5"/>
        <v>0.48608383664793031</v>
      </c>
      <c r="I97" s="66">
        <f t="shared" si="6"/>
        <v>0.48608383664793031</v>
      </c>
      <c r="J97" s="66">
        <f t="shared" si="7"/>
        <v>0.23627749625037181</v>
      </c>
    </row>
    <row r="98" spans="1:10" x14ac:dyDescent="0.3">
      <c r="A98" s="67">
        <v>74</v>
      </c>
      <c r="B98" s="67">
        <v>10.482330571957153</v>
      </c>
      <c r="C98" s="67">
        <v>0.60440142925442863</v>
      </c>
      <c r="E98" s="66">
        <f>'2021 г.'!AR76</f>
        <v>11.42624494233317</v>
      </c>
      <c r="F98" s="66">
        <f>'2021 г.'!AS76</f>
        <v>11.086732001211582</v>
      </c>
      <c r="G98" s="66">
        <f t="shared" si="4"/>
        <v>10.482330571957153</v>
      </c>
      <c r="H98" s="66">
        <f t="shared" si="5"/>
        <v>0.60440142925442863</v>
      </c>
      <c r="I98" s="66">
        <f t="shared" si="6"/>
        <v>0.60440142925442863</v>
      </c>
      <c r="J98" s="66">
        <f t="shared" si="7"/>
        <v>0.36530108768479608</v>
      </c>
    </row>
    <row r="99" spans="1:10" x14ac:dyDescent="0.3">
      <c r="A99" s="67">
        <v>75</v>
      </c>
      <c r="B99" s="67">
        <v>10.51163980452208</v>
      </c>
      <c r="C99" s="67">
        <v>-2.4634907028568787</v>
      </c>
      <c r="E99" s="66">
        <f>'2021 г.'!AR77</f>
        <v>11.464018794014144</v>
      </c>
      <c r="F99" s="66">
        <f>'2021 г.'!AS77</f>
        <v>8.0481491016652011</v>
      </c>
      <c r="G99" s="66">
        <f t="shared" si="4"/>
        <v>10.51163980452208</v>
      </c>
      <c r="H99" s="66">
        <f t="shared" si="5"/>
        <v>-2.4634907028568787</v>
      </c>
      <c r="I99" s="66">
        <f t="shared" si="6"/>
        <v>2.4634907028568787</v>
      </c>
      <c r="J99" s="66">
        <f t="shared" si="7"/>
        <v>6.0687864430622778</v>
      </c>
    </row>
    <row r="100" spans="1:10" x14ac:dyDescent="0.3">
      <c r="A100" s="67">
        <v>76</v>
      </c>
      <c r="B100" s="67">
        <v>9.570008223188081</v>
      </c>
      <c r="C100" s="67">
        <v>-0.1311786135729367</v>
      </c>
      <c r="E100" s="66">
        <f>'2021 г.'!AR78</f>
        <v>10.250440389576625</v>
      </c>
      <c r="F100" s="66">
        <f>'2021 г.'!AS78</f>
        <v>9.4388296096151443</v>
      </c>
      <c r="G100" s="66">
        <f t="shared" si="4"/>
        <v>9.570008223188081</v>
      </c>
      <c r="H100" s="66">
        <f t="shared" si="5"/>
        <v>-0.1311786135729367</v>
      </c>
      <c r="I100" s="66">
        <f t="shared" si="6"/>
        <v>0.1311786135729367</v>
      </c>
      <c r="J100" s="66">
        <f t="shared" si="7"/>
        <v>1.7207828658917852E-2</v>
      </c>
    </row>
    <row r="101" spans="1:10" x14ac:dyDescent="0.3">
      <c r="A101" s="67">
        <v>77</v>
      </c>
      <c r="B101" s="67">
        <v>6.8061386987092298</v>
      </c>
      <c r="C101" s="67">
        <v>-0.14172967835882222</v>
      </c>
      <c r="E101" s="66">
        <f>'2021 г.'!AR79</f>
        <v>6.6883547139467616</v>
      </c>
      <c r="F101" s="66">
        <f>'2021 г.'!AS79</f>
        <v>6.6644090203504076</v>
      </c>
      <c r="G101" s="66">
        <f t="shared" si="4"/>
        <v>6.8061386987092298</v>
      </c>
      <c r="H101" s="66">
        <f t="shared" si="5"/>
        <v>-0.14172967835882222</v>
      </c>
      <c r="I101" s="66">
        <f t="shared" si="6"/>
        <v>0.14172967835882222</v>
      </c>
      <c r="J101" s="66">
        <f t="shared" si="7"/>
        <v>2.0087301727695201E-2</v>
      </c>
    </row>
    <row r="102" spans="1:10" x14ac:dyDescent="0.3">
      <c r="A102" s="67">
        <v>78</v>
      </c>
      <c r="B102" s="67">
        <v>8.4033721415538807</v>
      </c>
      <c r="C102" s="67">
        <v>0.44470627961478648</v>
      </c>
      <c r="E102" s="66">
        <f>'2021 г.'!AR80</f>
        <v>8.7468753195700302</v>
      </c>
      <c r="F102" s="66">
        <f>'2021 г.'!AS80</f>
        <v>8.8480784211686672</v>
      </c>
      <c r="G102" s="66">
        <f t="shared" si="4"/>
        <v>8.4033721415538807</v>
      </c>
      <c r="H102" s="66">
        <f t="shared" si="5"/>
        <v>0.44470627961478648</v>
      </c>
      <c r="I102" s="66">
        <f t="shared" si="6"/>
        <v>0.44470627961478648</v>
      </c>
      <c r="J102" s="66">
        <f t="shared" si="7"/>
        <v>0.19776367512882465</v>
      </c>
    </row>
    <row r="103" spans="1:10" x14ac:dyDescent="0.3">
      <c r="A103" s="67">
        <v>79</v>
      </c>
      <c r="B103" s="67">
        <v>9.8062026941675704</v>
      </c>
      <c r="C103" s="67">
        <v>-0.12174217743381277</v>
      </c>
      <c r="E103" s="66">
        <f>'2021 г.'!AR81</f>
        <v>10.554848732404476</v>
      </c>
      <c r="F103" s="66">
        <f>'2021 г.'!AS81</f>
        <v>9.6844605167337576</v>
      </c>
      <c r="G103" s="66">
        <f t="shared" si="4"/>
        <v>9.8062026941675704</v>
      </c>
      <c r="H103" s="66">
        <f t="shared" si="5"/>
        <v>-0.12174217743381277</v>
      </c>
      <c r="I103" s="66">
        <f t="shared" si="6"/>
        <v>0.12174217743381277</v>
      </c>
      <c r="J103" s="66">
        <f t="shared" si="7"/>
        <v>1.4821157766325952E-2</v>
      </c>
    </row>
    <row r="104" spans="1:10" ht="15" thickBot="1" x14ac:dyDescent="0.35">
      <c r="A104" s="68">
        <v>80</v>
      </c>
      <c r="B104" s="68">
        <v>10.307839713003411</v>
      </c>
      <c r="C104" s="68">
        <v>-1.5859113699563192</v>
      </c>
      <c r="E104" s="66">
        <f>'2021 г.'!AR82</f>
        <v>11.201360452055116</v>
      </c>
      <c r="F104" s="66">
        <f>'2021 г.'!AS82</f>
        <v>8.7219283430470913</v>
      </c>
      <c r="G104" s="66">
        <f t="shared" si="4"/>
        <v>10.307839713003411</v>
      </c>
      <c r="H104" s="66">
        <f t="shared" si="5"/>
        <v>-1.5859113699563192</v>
      </c>
      <c r="I104" s="66">
        <f t="shared" si="6"/>
        <v>1.5859113699563192</v>
      </c>
      <c r="J104" s="66">
        <f t="shared" si="7"/>
        <v>2.5151148733567292</v>
      </c>
    </row>
    <row r="105" spans="1:10" x14ac:dyDescent="0.3">
      <c r="J105">
        <f>AVERAGE(J25:J104)</f>
        <v>0.36311961259216596</v>
      </c>
    </row>
    <row r="106" spans="1:10" x14ac:dyDescent="0.3">
      <c r="J106">
        <f>SQRT(J105)</f>
        <v>0.60259406949634509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46D4-9226-4031-B07C-B37B4499DD78}">
  <dimension ref="A1:AZ91"/>
  <sheetViews>
    <sheetView topLeftCell="Z1" zoomScale="70" zoomScaleNormal="70" workbookViewId="0">
      <selection activeCell="AR2" sqref="AR2:AS82"/>
    </sheetView>
  </sheetViews>
  <sheetFormatPr defaultRowHeight="14.4" x14ac:dyDescent="0.3"/>
  <cols>
    <col min="1" max="1" width="8.88671875" style="4" customWidth="1"/>
    <col min="2" max="2" width="28.6640625" style="7" customWidth="1"/>
    <col min="3" max="3" width="24.77734375" style="7" customWidth="1"/>
    <col min="4" max="4" width="22.21875" style="7" customWidth="1"/>
    <col min="16" max="16" width="28.44140625" customWidth="1"/>
    <col min="17" max="17" width="24.109375" customWidth="1"/>
    <col min="18" max="18" width="23.33203125" customWidth="1"/>
    <col min="20" max="20" width="10.88671875" customWidth="1"/>
    <col min="21" max="21" width="10.5546875" customWidth="1"/>
    <col min="22" max="22" width="15.33203125" customWidth="1"/>
    <col min="23" max="23" width="15.33203125" style="27" customWidth="1"/>
    <col min="24" max="24" width="14.88671875" customWidth="1"/>
    <col min="25" max="25" width="15.33203125" customWidth="1"/>
    <col min="27" max="27" width="21.6640625" customWidth="1"/>
    <col min="28" max="28" width="13.88671875" customWidth="1"/>
    <col min="35" max="35" width="14.21875" customWidth="1"/>
  </cols>
  <sheetData>
    <row r="1" spans="1:52" ht="54" customHeight="1" thickBot="1" x14ac:dyDescent="1.1499999999999999">
      <c r="A1" s="93" t="s">
        <v>89</v>
      </c>
      <c r="B1" s="94" t="s">
        <v>0</v>
      </c>
      <c r="C1" s="107" t="s">
        <v>140</v>
      </c>
      <c r="D1" s="106" t="s">
        <v>141</v>
      </c>
      <c r="O1" s="93" t="s">
        <v>89</v>
      </c>
      <c r="P1" s="94" t="s">
        <v>0</v>
      </c>
      <c r="Q1" s="107" t="s">
        <v>140</v>
      </c>
      <c r="R1" s="106" t="s">
        <v>141</v>
      </c>
      <c r="AI1" s="80"/>
      <c r="AJ1" s="80"/>
      <c r="AK1" s="80"/>
      <c r="AL1" s="80"/>
      <c r="AM1" s="80"/>
      <c r="AN1" s="80"/>
      <c r="AO1" s="80"/>
    </row>
    <row r="2" spans="1:52" ht="15" thickBot="1" x14ac:dyDescent="0.35">
      <c r="A2" s="74"/>
      <c r="B2" s="78"/>
      <c r="C2" s="17" t="s">
        <v>1</v>
      </c>
      <c r="D2" s="16" t="s">
        <v>1</v>
      </c>
      <c r="O2" s="74"/>
      <c r="P2" s="78"/>
      <c r="Q2" s="17" t="s">
        <v>1</v>
      </c>
      <c r="R2" s="16" t="s">
        <v>1</v>
      </c>
      <c r="T2" s="48" t="s">
        <v>90</v>
      </c>
      <c r="U2" s="49" t="s">
        <v>91</v>
      </c>
      <c r="V2" s="49" t="s">
        <v>92</v>
      </c>
      <c r="W2" s="65" t="s">
        <v>108</v>
      </c>
      <c r="X2" s="49" t="s">
        <v>93</v>
      </c>
      <c r="Y2" s="50" t="s">
        <v>94</v>
      </c>
      <c r="AA2" s="44" t="s">
        <v>96</v>
      </c>
      <c r="AB2" s="51">
        <f>SQRT(X83-T83^2)</f>
        <v>23850.696127258925</v>
      </c>
      <c r="AR2" s="112" t="s">
        <v>149</v>
      </c>
      <c r="AS2" s="113" t="s">
        <v>150</v>
      </c>
      <c r="AT2" s="113" t="s">
        <v>151</v>
      </c>
      <c r="AU2" s="113" t="s">
        <v>152</v>
      </c>
      <c r="AV2" s="113" t="s">
        <v>93</v>
      </c>
      <c r="AW2" s="50" t="s">
        <v>94</v>
      </c>
      <c r="AY2" s="55" t="s">
        <v>102</v>
      </c>
      <c r="AZ2" s="56">
        <f>AR83</f>
        <v>10.244221505489978</v>
      </c>
    </row>
    <row r="3" spans="1:52" ht="15" thickBot="1" x14ac:dyDescent="0.35">
      <c r="A3" s="15">
        <v>1</v>
      </c>
      <c r="B3" s="18" t="s">
        <v>4</v>
      </c>
      <c r="C3" s="19">
        <v>39070</v>
      </c>
      <c r="D3" s="20">
        <f>'Показатели преступности России'!U4*1000</f>
        <v>58782</v>
      </c>
      <c r="O3" s="15">
        <v>1</v>
      </c>
      <c r="P3" s="18" t="s">
        <v>4</v>
      </c>
      <c r="Q3" s="19">
        <v>39070</v>
      </c>
      <c r="R3" s="20">
        <f>'Показатели преступности России'!D4</f>
        <v>58782</v>
      </c>
      <c r="T3" s="45">
        <f>R3</f>
        <v>58782</v>
      </c>
      <c r="U3" s="46">
        <f>Q3</f>
        <v>39070</v>
      </c>
      <c r="V3" s="46">
        <f>T3*U3</f>
        <v>2296612740</v>
      </c>
      <c r="W3" s="46">
        <f>(T3-T$83)^2</f>
        <v>480210795.53265631</v>
      </c>
      <c r="X3" s="46">
        <f>T3^2</f>
        <v>3455323524</v>
      </c>
      <c r="Y3" s="47">
        <f>U3^2</f>
        <v>1526464900</v>
      </c>
      <c r="AA3" s="44" t="s">
        <v>97</v>
      </c>
      <c r="AB3" s="51">
        <f>SQRT(Y83-U83^2)</f>
        <v>15092.014840217451</v>
      </c>
      <c r="AH3" s="55" t="s">
        <v>102</v>
      </c>
      <c r="AI3" s="56">
        <f>T83</f>
        <v>36868.287499999999</v>
      </c>
      <c r="AR3" s="45">
        <f>LN(T3)</f>
        <v>10.981590964572698</v>
      </c>
      <c r="AS3" s="46">
        <f>LN(U3)</f>
        <v>10.573110188049116</v>
      </c>
      <c r="AT3" s="46">
        <f>AR3*AS3</f>
        <v>116.1095713085117</v>
      </c>
      <c r="AU3" s="46">
        <f>(AR3-AR$83)^2</f>
        <v>0.54371371918794242</v>
      </c>
      <c r="AV3" s="46">
        <f>AR3^2</f>
        <v>120.59534011318472</v>
      </c>
      <c r="AW3" s="47">
        <f>AS3^2</f>
        <v>111.790659048628</v>
      </c>
      <c r="AY3" s="57" t="s">
        <v>103</v>
      </c>
      <c r="AZ3" s="58">
        <f>AS83</f>
        <v>9.5651829085357853</v>
      </c>
    </row>
    <row r="4" spans="1:52" ht="15" thickBot="1" x14ac:dyDescent="0.35">
      <c r="A4" s="13">
        <v>2</v>
      </c>
      <c r="B4" s="21" t="s">
        <v>5</v>
      </c>
      <c r="C4" s="9">
        <v>18231</v>
      </c>
      <c r="D4" s="3">
        <f>'Показатели преступности России'!U5*1000</f>
        <v>20354</v>
      </c>
      <c r="O4" s="13">
        <v>2</v>
      </c>
      <c r="P4" s="21" t="s">
        <v>5</v>
      </c>
      <c r="Q4" s="9">
        <v>18231</v>
      </c>
      <c r="R4" s="20">
        <f>'Показатели преступности России'!D5</f>
        <v>20354</v>
      </c>
      <c r="T4" s="37">
        <f t="shared" ref="T4:T67" si="0">R4</f>
        <v>20354</v>
      </c>
      <c r="U4" s="36">
        <f t="shared" ref="U4:U67" si="1">Q4</f>
        <v>18231</v>
      </c>
      <c r="V4" s="36">
        <f t="shared" ref="V4:V67" si="2">T4*U4</f>
        <v>371073774</v>
      </c>
      <c r="W4" s="46">
        <f t="shared" ref="W4:W67" si="3">(T4-T$83)^2</f>
        <v>272721691.63265622</v>
      </c>
      <c r="X4" s="46">
        <f t="shared" ref="X4:X67" si="4">T4^2</f>
        <v>414285316</v>
      </c>
      <c r="Y4" s="3">
        <f t="shared" ref="Y4:Y67" si="5">U4^2</f>
        <v>332369361</v>
      </c>
      <c r="AH4" s="57" t="s">
        <v>103</v>
      </c>
      <c r="AI4" s="58">
        <f>U83</f>
        <v>19799.612499999999</v>
      </c>
      <c r="AR4" s="45">
        <f t="shared" ref="AR4:AR67" si="6">LN(T4)</f>
        <v>9.9210327317518772</v>
      </c>
      <c r="AS4" s="46">
        <f t="shared" ref="AS4:AS67" si="7">LN(U4)</f>
        <v>9.8108787208034656</v>
      </c>
      <c r="AT4" s="36">
        <f t="shared" ref="AT4:AT67" si="8">AR4*AS4</f>
        <v>97.334048916339171</v>
      </c>
      <c r="AU4" s="46">
        <f t="shared" ref="AU4:AU67" si="9">(AR4-AR$83)^2</f>
        <v>0.10445098347033756</v>
      </c>
      <c r="AV4" s="46">
        <f t="shared" ref="AV4:AV67" si="10">AR4^2</f>
        <v>98.426890464492118</v>
      </c>
      <c r="AW4" s="3">
        <f t="shared" ref="AW4:AW67" si="11">AS4^2</f>
        <v>96.253341274314238</v>
      </c>
      <c r="AY4" s="59" t="s">
        <v>104</v>
      </c>
      <c r="AZ4" s="60">
        <f>AT83</f>
        <v>98.564041924813992</v>
      </c>
    </row>
    <row r="5" spans="1:52" ht="15" thickBot="1" x14ac:dyDescent="0.35">
      <c r="A5" s="13">
        <v>3</v>
      </c>
      <c r="B5" s="21" t="s">
        <v>6</v>
      </c>
      <c r="C5" s="9">
        <v>16996</v>
      </c>
      <c r="D5" s="3">
        <f>'Показатели преступности России'!U6*1000</f>
        <v>33252</v>
      </c>
      <c r="O5" s="15">
        <v>3</v>
      </c>
      <c r="P5" s="21" t="s">
        <v>6</v>
      </c>
      <c r="Q5" s="9">
        <v>16996</v>
      </c>
      <c r="R5" s="20">
        <f>'Показатели преступности России'!D6</f>
        <v>33252</v>
      </c>
      <c r="T5" s="37">
        <f t="shared" si="0"/>
        <v>33252</v>
      </c>
      <c r="U5" s="36">
        <f t="shared" si="1"/>
        <v>16996</v>
      </c>
      <c r="V5" s="36">
        <f t="shared" si="2"/>
        <v>565150992</v>
      </c>
      <c r="W5" s="46">
        <f t="shared" si="3"/>
        <v>13077535.282656239</v>
      </c>
      <c r="X5" s="46">
        <f t="shared" si="4"/>
        <v>1105695504</v>
      </c>
      <c r="Y5" s="3">
        <f t="shared" si="5"/>
        <v>288864016</v>
      </c>
      <c r="AA5" s="95" t="s">
        <v>98</v>
      </c>
      <c r="AB5" s="96"/>
      <c r="AC5" s="52">
        <f>(V83-U83*T83)/(AB2*AB3)</f>
        <v>0.7187998113758165</v>
      </c>
      <c r="AH5" s="59" t="s">
        <v>104</v>
      </c>
      <c r="AI5" s="60">
        <f>V83</f>
        <v>988713435.20000005</v>
      </c>
      <c r="AR5" s="45">
        <f t="shared" si="6"/>
        <v>10.411870194650978</v>
      </c>
      <c r="AS5" s="46">
        <f t="shared" si="7"/>
        <v>9.7407333012347017</v>
      </c>
      <c r="AT5" s="36">
        <f t="shared" si="8"/>
        <v>101.41925073316982</v>
      </c>
      <c r="AU5" s="46">
        <f t="shared" si="9"/>
        <v>2.8106082977401619E-2</v>
      </c>
      <c r="AV5" s="46">
        <f t="shared" si="10"/>
        <v>108.4070409502614</v>
      </c>
      <c r="AW5" s="3">
        <f t="shared" si="11"/>
        <v>94.881885245782684</v>
      </c>
      <c r="AY5" s="59" t="s">
        <v>105</v>
      </c>
      <c r="AZ5" s="61">
        <f>AV83</f>
        <v>105.68666945808327</v>
      </c>
    </row>
    <row r="6" spans="1:52" ht="15" thickBot="1" x14ac:dyDescent="0.35">
      <c r="A6" s="13">
        <v>4</v>
      </c>
      <c r="B6" s="21" t="s">
        <v>7</v>
      </c>
      <c r="C6" s="9">
        <v>13801</v>
      </c>
      <c r="D6" s="3">
        <f>'Показатели преступности России'!U7*1000</f>
        <v>38582</v>
      </c>
      <c r="O6" s="13">
        <v>4</v>
      </c>
      <c r="P6" s="21" t="s">
        <v>7</v>
      </c>
      <c r="Q6" s="9">
        <v>13801</v>
      </c>
      <c r="R6" s="20">
        <f>'Показатели преступности России'!D7</f>
        <v>38582</v>
      </c>
      <c r="T6" s="37">
        <f t="shared" si="0"/>
        <v>38582</v>
      </c>
      <c r="U6" s="36">
        <f t="shared" si="1"/>
        <v>13801</v>
      </c>
      <c r="V6" s="36">
        <f t="shared" si="2"/>
        <v>532470182</v>
      </c>
      <c r="W6" s="46">
        <f t="shared" si="3"/>
        <v>2936810.5326562552</v>
      </c>
      <c r="X6" s="46">
        <f t="shared" si="4"/>
        <v>1488570724</v>
      </c>
      <c r="Y6" s="3">
        <f t="shared" si="5"/>
        <v>190467601</v>
      </c>
      <c r="AA6" s="81" t="s">
        <v>99</v>
      </c>
      <c r="AB6" s="71"/>
      <c r="AC6" s="53">
        <f>CORREL(T3:T82,U3:U82)</f>
        <v>0.71879981137581617</v>
      </c>
      <c r="AH6" s="59" t="s">
        <v>105</v>
      </c>
      <c r="AI6" s="61">
        <f>W83</f>
        <v>568855705.75484359</v>
      </c>
      <c r="AR6" s="45">
        <f t="shared" si="6"/>
        <v>10.560541125447834</v>
      </c>
      <c r="AS6" s="46">
        <f t="shared" si="7"/>
        <v>9.5324963322880407</v>
      </c>
      <c r="AT6" s="36">
        <f t="shared" si="8"/>
        <v>100.66831954530849</v>
      </c>
      <c r="AU6" s="46">
        <f t="shared" si="9"/>
        <v>0.10005810197028228</v>
      </c>
      <c r="AV6" s="46">
        <f t="shared" si="10"/>
        <v>111.52502886227501</v>
      </c>
      <c r="AW6" s="3">
        <f t="shared" si="11"/>
        <v>90.868486325084945</v>
      </c>
      <c r="AY6" s="37"/>
      <c r="AZ6" s="62"/>
    </row>
    <row r="7" spans="1:52" ht="15" thickBot="1" x14ac:dyDescent="0.35">
      <c r="A7" s="13">
        <v>5</v>
      </c>
      <c r="B7" s="21" t="s">
        <v>8</v>
      </c>
      <c r="C7" s="9">
        <v>14067</v>
      </c>
      <c r="D7" s="3">
        <f>'Показатели преступности России'!U8*1000</f>
        <v>34974</v>
      </c>
      <c r="O7" s="15">
        <v>5</v>
      </c>
      <c r="P7" s="21" t="s">
        <v>8</v>
      </c>
      <c r="Q7" s="9">
        <v>14067</v>
      </c>
      <c r="R7" s="20">
        <f>'Показатели преступности России'!D8</f>
        <v>34974</v>
      </c>
      <c r="T7" s="37">
        <f t="shared" si="0"/>
        <v>34974</v>
      </c>
      <c r="U7" s="36">
        <f t="shared" si="1"/>
        <v>14067</v>
      </c>
      <c r="V7" s="36">
        <f t="shared" si="2"/>
        <v>491979258</v>
      </c>
      <c r="W7" s="46">
        <f t="shared" si="3"/>
        <v>3588325.1326562446</v>
      </c>
      <c r="X7" s="46">
        <f t="shared" si="4"/>
        <v>1223180676</v>
      </c>
      <c r="Y7" s="3">
        <f t="shared" si="5"/>
        <v>197880489</v>
      </c>
      <c r="AH7" s="37"/>
      <c r="AI7" s="62"/>
      <c r="AR7" s="45">
        <f t="shared" si="6"/>
        <v>10.462360207273605</v>
      </c>
      <c r="AS7" s="46">
        <f t="shared" si="7"/>
        <v>9.5515869077576951</v>
      </c>
      <c r="AT7" s="36">
        <f t="shared" si="8"/>
        <v>99.932142780039655</v>
      </c>
      <c r="AU7" s="46">
        <f t="shared" si="9"/>
        <v>4.758449321584593E-2</v>
      </c>
      <c r="AV7" s="46">
        <f t="shared" si="10"/>
        <v>109.46098110674218</v>
      </c>
      <c r="AW7" s="3">
        <f t="shared" si="11"/>
        <v>91.232812456448215</v>
      </c>
      <c r="AY7" s="59" t="s">
        <v>106</v>
      </c>
      <c r="AZ7" s="61">
        <f>(AZ4-AZ3*AZ2)/AZ5</f>
        <v>5.4518651425101358E-3</v>
      </c>
    </row>
    <row r="8" spans="1:52" ht="15" thickBot="1" x14ac:dyDescent="0.35">
      <c r="A8" s="13">
        <v>6</v>
      </c>
      <c r="B8" s="21" t="s">
        <v>9</v>
      </c>
      <c r="C8" s="9">
        <v>14202</v>
      </c>
      <c r="D8" s="3">
        <f>'Показатели преступности России'!U9*1000</f>
        <v>20080</v>
      </c>
      <c r="O8" s="13">
        <v>6</v>
      </c>
      <c r="P8" s="21" t="s">
        <v>9</v>
      </c>
      <c r="Q8" s="9">
        <v>14202</v>
      </c>
      <c r="R8" s="20">
        <f>'Показатели преступности России'!D9</f>
        <v>20080</v>
      </c>
      <c r="T8" s="37">
        <f t="shared" si="0"/>
        <v>20080</v>
      </c>
      <c r="U8" s="36">
        <f t="shared" si="1"/>
        <v>14202</v>
      </c>
      <c r="V8" s="36">
        <f t="shared" si="2"/>
        <v>285176160</v>
      </c>
      <c r="W8" s="46">
        <f t="shared" si="3"/>
        <v>281846597.18265623</v>
      </c>
      <c r="X8" s="46">
        <f t="shared" si="4"/>
        <v>403206400</v>
      </c>
      <c r="Y8" s="3">
        <f t="shared" si="5"/>
        <v>201696804</v>
      </c>
      <c r="AH8" s="59" t="s">
        <v>106</v>
      </c>
      <c r="AI8" s="61">
        <f>(AI5-AI4*AI3)/AI6</f>
        <v>0.45483525355182458</v>
      </c>
      <c r="AR8" s="45">
        <f t="shared" si="6"/>
        <v>9.9074795738056647</v>
      </c>
      <c r="AS8" s="46">
        <f t="shared" si="7"/>
        <v>9.5611380787420384</v>
      </c>
      <c r="AT8" s="36">
        <f t="shared" si="8"/>
        <v>94.726780217472282</v>
      </c>
      <c r="AU8" s="46">
        <f t="shared" si="9"/>
        <v>0.11339512855448297</v>
      </c>
      <c r="AV8" s="46">
        <f t="shared" si="10"/>
        <v>98.15815150537648</v>
      </c>
      <c r="AW8" s="3">
        <f t="shared" si="11"/>
        <v>91.415361360771001</v>
      </c>
      <c r="AY8" s="63" t="s">
        <v>107</v>
      </c>
      <c r="AZ8" s="64">
        <f>AZ3-AZ7*AZ2</f>
        <v>9.5093327943978512</v>
      </c>
    </row>
    <row r="9" spans="1:52" ht="15" thickBot="1" x14ac:dyDescent="0.35">
      <c r="A9" s="13">
        <v>7</v>
      </c>
      <c r="B9" s="21" t="s">
        <v>10</v>
      </c>
      <c r="C9" s="9">
        <v>16248</v>
      </c>
      <c r="D9" s="3">
        <f>'Показатели преступности России'!U10*1000</f>
        <v>27999</v>
      </c>
      <c r="O9" s="15">
        <v>7</v>
      </c>
      <c r="P9" s="21" t="s">
        <v>10</v>
      </c>
      <c r="Q9" s="9">
        <v>16248</v>
      </c>
      <c r="R9" s="20">
        <f>'Показатели преступности России'!D10</f>
        <v>27999</v>
      </c>
      <c r="T9" s="37">
        <f t="shared" si="0"/>
        <v>27999</v>
      </c>
      <c r="U9" s="36">
        <f t="shared" si="1"/>
        <v>16248</v>
      </c>
      <c r="V9" s="36">
        <f t="shared" si="2"/>
        <v>454927752</v>
      </c>
      <c r="W9" s="46">
        <f t="shared" si="3"/>
        <v>78664260.757656232</v>
      </c>
      <c r="X9" s="46">
        <f t="shared" si="4"/>
        <v>783944001</v>
      </c>
      <c r="Y9" s="3">
        <f t="shared" si="5"/>
        <v>263997504</v>
      </c>
      <c r="AH9" s="63" t="s">
        <v>107</v>
      </c>
      <c r="AI9" s="64">
        <f>AI4-AI8*AI3</f>
        <v>3030.615606915937</v>
      </c>
      <c r="AR9" s="45">
        <f t="shared" si="6"/>
        <v>10.239924074233857</v>
      </c>
      <c r="AS9" s="46">
        <f t="shared" si="7"/>
        <v>9.6957251032602212</v>
      </c>
      <c r="AT9" s="36">
        <f t="shared" si="8"/>
        <v>99.283488902027884</v>
      </c>
      <c r="AU9" s="46">
        <f t="shared" si="9"/>
        <v>1.8467915401091711E-5</v>
      </c>
      <c r="AV9" s="46">
        <f t="shared" si="10"/>
        <v>104.8560450460741</v>
      </c>
      <c r="AW9" s="3">
        <f t="shared" si="11"/>
        <v>94.007085277990427</v>
      </c>
    </row>
    <row r="10" spans="1:52" ht="15" customHeight="1" thickBot="1" x14ac:dyDescent="0.35">
      <c r="A10" s="13">
        <v>8</v>
      </c>
      <c r="B10" s="21" t="s">
        <v>11</v>
      </c>
      <c r="C10" s="9">
        <v>37910</v>
      </c>
      <c r="D10" s="3">
        <f>'Показатели преступности России'!U11*1000</f>
        <v>64147.999999999993</v>
      </c>
      <c r="O10" s="13">
        <v>8</v>
      </c>
      <c r="P10" s="21" t="s">
        <v>11</v>
      </c>
      <c r="Q10" s="9">
        <v>37910</v>
      </c>
      <c r="R10" s="20">
        <f>'Показатели преступности России'!D11</f>
        <v>64147.999999999993</v>
      </c>
      <c r="T10" s="37">
        <f t="shared" si="0"/>
        <v>64147.999999999993</v>
      </c>
      <c r="U10" s="36">
        <f t="shared" si="1"/>
        <v>37910</v>
      </c>
      <c r="V10" s="36">
        <f t="shared" si="2"/>
        <v>2431850679.9999995</v>
      </c>
      <c r="W10" s="46">
        <f t="shared" si="3"/>
        <v>744182714.08265591</v>
      </c>
      <c r="X10" s="46">
        <f t="shared" si="4"/>
        <v>4114965903.999999</v>
      </c>
      <c r="Y10" s="3">
        <f t="shared" si="5"/>
        <v>1437168100</v>
      </c>
      <c r="AH10" s="98" t="s">
        <v>109</v>
      </c>
      <c r="AI10" s="98"/>
      <c r="AK10" s="110" t="s">
        <v>139</v>
      </c>
      <c r="AL10" s="99"/>
      <c r="AM10" s="99"/>
      <c r="AN10" s="99"/>
      <c r="AO10" s="99"/>
      <c r="AP10" s="99"/>
      <c r="AR10" s="45">
        <f t="shared" si="6"/>
        <v>11.068948192628699</v>
      </c>
      <c r="AS10" s="46">
        <f t="shared" si="7"/>
        <v>10.542970208510381</v>
      </c>
      <c r="AT10" s="36">
        <f t="shared" si="8"/>
        <v>116.6995910344292</v>
      </c>
      <c r="AU10" s="46">
        <f t="shared" si="9"/>
        <v>0.68017410847880999</v>
      </c>
      <c r="AV10" s="46">
        <f t="shared" si="10"/>
        <v>122.52161409109816</v>
      </c>
      <c r="AW10" s="3">
        <f t="shared" si="11"/>
        <v>111.15422081753742</v>
      </c>
    </row>
    <row r="11" spans="1:52" ht="15" thickBot="1" x14ac:dyDescent="0.35">
      <c r="A11" s="13">
        <v>9</v>
      </c>
      <c r="B11" s="21" t="s">
        <v>12</v>
      </c>
      <c r="C11" s="9">
        <v>17775</v>
      </c>
      <c r="D11" s="3">
        <f>'Показатели преступности России'!U12*1000</f>
        <v>25905</v>
      </c>
      <c r="O11" s="15">
        <v>9</v>
      </c>
      <c r="P11" s="21" t="s">
        <v>12</v>
      </c>
      <c r="Q11" s="9">
        <v>17775</v>
      </c>
      <c r="R11" s="20">
        <f>'Показатели преступности России'!D12</f>
        <v>25905</v>
      </c>
      <c r="T11" s="37">
        <f t="shared" si="0"/>
        <v>25905</v>
      </c>
      <c r="U11" s="36">
        <f t="shared" si="1"/>
        <v>17775</v>
      </c>
      <c r="V11" s="36">
        <f t="shared" si="2"/>
        <v>460461375</v>
      </c>
      <c r="W11" s="46">
        <f t="shared" si="3"/>
        <v>120193672.80765621</v>
      </c>
      <c r="X11" s="46">
        <f t="shared" si="4"/>
        <v>671069025</v>
      </c>
      <c r="Y11" s="3">
        <f t="shared" si="5"/>
        <v>315950625</v>
      </c>
      <c r="AH11" s="97"/>
      <c r="AI11" s="97"/>
      <c r="AK11" s="99"/>
      <c r="AL11" s="99"/>
      <c r="AM11" s="99"/>
      <c r="AN11" s="99"/>
      <c r="AO11" s="99"/>
      <c r="AP11" s="99"/>
      <c r="AR11" s="45">
        <f t="shared" si="6"/>
        <v>10.162191279248889</v>
      </c>
      <c r="AS11" s="46">
        <f t="shared" si="7"/>
        <v>9.7855482546714416</v>
      </c>
      <c r="AT11" s="36">
        <f t="shared" si="8"/>
        <v>99.442613136291314</v>
      </c>
      <c r="AU11" s="46">
        <f t="shared" si="9"/>
        <v>6.7289580171643231E-3</v>
      </c>
      <c r="AV11" s="46">
        <f t="shared" si="10"/>
        <v>103.27013159604216</v>
      </c>
      <c r="AW11" s="3">
        <f t="shared" si="11"/>
        <v>95.756954644503296</v>
      </c>
    </row>
    <row r="12" spans="1:52" ht="15" thickBot="1" x14ac:dyDescent="0.35">
      <c r="A12" s="13">
        <v>10</v>
      </c>
      <c r="B12" s="21" t="s">
        <v>13</v>
      </c>
      <c r="C12" s="9">
        <v>29552</v>
      </c>
      <c r="D12" s="3">
        <f>'Показатели преступности России'!U13*1000</f>
        <v>45599</v>
      </c>
      <c r="O12" s="13">
        <v>10</v>
      </c>
      <c r="P12" s="21" t="s">
        <v>13</v>
      </c>
      <c r="Q12" s="9">
        <v>29552</v>
      </c>
      <c r="R12" s="20">
        <f>'Показатели преступности России'!D13</f>
        <v>45599</v>
      </c>
      <c r="T12" s="37">
        <f t="shared" si="0"/>
        <v>45599</v>
      </c>
      <c r="U12" s="36">
        <f t="shared" si="1"/>
        <v>29552</v>
      </c>
      <c r="V12" s="36">
        <f t="shared" si="2"/>
        <v>1347541648</v>
      </c>
      <c r="W12" s="46">
        <f t="shared" si="3"/>
        <v>76225340.757656276</v>
      </c>
      <c r="X12" s="46">
        <f t="shared" si="4"/>
        <v>2079268801</v>
      </c>
      <c r="Y12" s="3">
        <f t="shared" si="5"/>
        <v>873320704</v>
      </c>
      <c r="AK12" s="99"/>
      <c r="AL12" s="99"/>
      <c r="AM12" s="99"/>
      <c r="AN12" s="99"/>
      <c r="AO12" s="99"/>
      <c r="AP12" s="99"/>
      <c r="AR12" s="45">
        <f t="shared" si="6"/>
        <v>10.727641065437455</v>
      </c>
      <c r="AS12" s="46">
        <f t="shared" si="7"/>
        <v>10.293906702439021</v>
      </c>
      <c r="AT12" s="36">
        <f t="shared" si="8"/>
        <v>110.42933626486669</v>
      </c>
      <c r="AU12" s="46">
        <f t="shared" si="9"/>
        <v>0.23369447093981174</v>
      </c>
      <c r="AV12" s="46">
        <f t="shared" si="10"/>
        <v>115.08228282886004</v>
      </c>
      <c r="AW12" s="3">
        <f t="shared" si="11"/>
        <v>105.964515198519</v>
      </c>
    </row>
    <row r="13" spans="1:52" ht="15" thickBot="1" x14ac:dyDescent="0.35">
      <c r="A13" s="13">
        <v>11</v>
      </c>
      <c r="B13" s="21" t="s">
        <v>14</v>
      </c>
      <c r="C13" s="9">
        <v>3323</v>
      </c>
      <c r="D13" s="3">
        <f>'Показатели преступности России'!U14*1000</f>
        <v>4189</v>
      </c>
      <c r="O13" s="15">
        <v>11</v>
      </c>
      <c r="P13" s="21" t="s">
        <v>14</v>
      </c>
      <c r="Q13" s="9">
        <v>3323</v>
      </c>
      <c r="R13" s="20">
        <f>'Показатели преступности России'!D14</f>
        <v>4189</v>
      </c>
      <c r="T13" s="37">
        <f t="shared" si="0"/>
        <v>4189</v>
      </c>
      <c r="U13" s="36">
        <f t="shared" si="1"/>
        <v>3323</v>
      </c>
      <c r="V13" s="36">
        <f t="shared" si="2"/>
        <v>13920047</v>
      </c>
      <c r="W13" s="46">
        <f t="shared" si="3"/>
        <v>1067935831.5076561</v>
      </c>
      <c r="X13" s="46">
        <f t="shared" si="4"/>
        <v>17547721</v>
      </c>
      <c r="Y13" s="3">
        <f t="shared" si="5"/>
        <v>11042329</v>
      </c>
      <c r="AK13" s="99"/>
      <c r="AL13" s="99"/>
      <c r="AM13" s="99"/>
      <c r="AN13" s="99"/>
      <c r="AO13" s="99"/>
      <c r="AP13" s="99"/>
      <c r="AR13" s="45">
        <f t="shared" si="6"/>
        <v>8.3402173209470352</v>
      </c>
      <c r="AS13" s="46">
        <f t="shared" si="7"/>
        <v>8.1086232683545951</v>
      </c>
      <c r="AT13" s="36">
        <f t="shared" si="8"/>
        <v>67.627680231765154</v>
      </c>
      <c r="AU13" s="46">
        <f t="shared" si="9"/>
        <v>3.6252319347570379</v>
      </c>
      <c r="AV13" s="46">
        <f t="shared" si="10"/>
        <v>69.559224960624945</v>
      </c>
      <c r="AW13" s="3">
        <f t="shared" si="11"/>
        <v>65.749771308101558</v>
      </c>
    </row>
    <row r="14" spans="1:52" ht="15" thickBot="1" x14ac:dyDescent="0.35">
      <c r="A14" s="13">
        <v>12</v>
      </c>
      <c r="B14" s="21" t="s">
        <v>15</v>
      </c>
      <c r="C14" s="9">
        <v>21707</v>
      </c>
      <c r="D14" s="3">
        <f>'Показатели преступности России'!U15*1000</f>
        <v>47321</v>
      </c>
      <c r="O14" s="13">
        <v>12</v>
      </c>
      <c r="P14" s="21" t="s">
        <v>15</v>
      </c>
      <c r="Q14" s="9">
        <v>21707</v>
      </c>
      <c r="R14" s="20">
        <f>'Показатели преступности России'!D15</f>
        <v>47321</v>
      </c>
      <c r="T14" s="37">
        <f t="shared" si="0"/>
        <v>47321</v>
      </c>
      <c r="U14" s="36">
        <f t="shared" si="1"/>
        <v>21707</v>
      </c>
      <c r="V14" s="36">
        <f t="shared" si="2"/>
        <v>1027196947</v>
      </c>
      <c r="W14" s="46">
        <f t="shared" si="3"/>
        <v>109259198.60765629</v>
      </c>
      <c r="X14" s="46">
        <f t="shared" si="4"/>
        <v>2239277041</v>
      </c>
      <c r="Y14" s="3">
        <f t="shared" si="5"/>
        <v>471193849</v>
      </c>
      <c r="AK14" s="99"/>
      <c r="AL14" s="99"/>
      <c r="AM14" s="99"/>
      <c r="AN14" s="99"/>
      <c r="AO14" s="99"/>
      <c r="AP14" s="99"/>
      <c r="AR14" s="45">
        <f t="shared" si="6"/>
        <v>10.764709450582471</v>
      </c>
      <c r="AS14" s="46">
        <f t="shared" si="7"/>
        <v>9.9853900681557626</v>
      </c>
      <c r="AT14" s="36">
        <f t="shared" si="8"/>
        <v>107.48982283442868</v>
      </c>
      <c r="AU14" s="46">
        <f t="shared" si="9"/>
        <v>0.27090770098660538</v>
      </c>
      <c r="AV14" s="46">
        <f t="shared" si="10"/>
        <v>115.87896955545956</v>
      </c>
      <c r="AW14" s="3">
        <f t="shared" si="11"/>
        <v>99.708014813223741</v>
      </c>
    </row>
    <row r="15" spans="1:52" ht="15" thickBot="1" x14ac:dyDescent="0.35">
      <c r="A15" s="13">
        <v>13</v>
      </c>
      <c r="B15" s="21" t="s">
        <v>16</v>
      </c>
      <c r="C15" s="9">
        <v>12064</v>
      </c>
      <c r="D15" s="3">
        <f>'Показатели преступности России'!U16*1000</f>
        <v>22510</v>
      </c>
      <c r="O15" s="15">
        <v>13</v>
      </c>
      <c r="P15" s="21" t="s">
        <v>16</v>
      </c>
      <c r="Q15" s="9">
        <v>12064</v>
      </c>
      <c r="R15" s="20">
        <f>'Показатели преступности России'!D16</f>
        <v>22510</v>
      </c>
      <c r="T15" s="37">
        <f t="shared" si="0"/>
        <v>22510</v>
      </c>
      <c r="U15" s="36">
        <f t="shared" si="1"/>
        <v>12064</v>
      </c>
      <c r="V15" s="36">
        <f t="shared" si="2"/>
        <v>271560640</v>
      </c>
      <c r="W15" s="46">
        <f t="shared" si="3"/>
        <v>206160419.9326562</v>
      </c>
      <c r="X15" s="46">
        <f t="shared" si="4"/>
        <v>506700100</v>
      </c>
      <c r="Y15" s="3">
        <f t="shared" si="5"/>
        <v>145540096</v>
      </c>
      <c r="AK15" s="99"/>
      <c r="AL15" s="99"/>
      <c r="AM15" s="99"/>
      <c r="AN15" s="99"/>
      <c r="AO15" s="99"/>
      <c r="AP15" s="99"/>
      <c r="AR15" s="45">
        <f t="shared" si="6"/>
        <v>10.021714933900778</v>
      </c>
      <c r="AS15" s="46">
        <f t="shared" si="7"/>
        <v>9.3979810902477379</v>
      </c>
      <c r="AT15" s="36">
        <f t="shared" si="8"/>
        <v>94.183887440652867</v>
      </c>
      <c r="AU15" s="46">
        <f t="shared" si="9"/>
        <v>4.9509174400379816E-2</v>
      </c>
      <c r="AV15" s="46">
        <f t="shared" si="10"/>
        <v>100.43477021636988</v>
      </c>
      <c r="AW15" s="3">
        <f t="shared" si="11"/>
        <v>88.322048572654055</v>
      </c>
    </row>
    <row r="16" spans="1:52" ht="15" thickBot="1" x14ac:dyDescent="0.35">
      <c r="A16" s="13">
        <v>14</v>
      </c>
      <c r="B16" s="21" t="s">
        <v>17</v>
      </c>
      <c r="C16" s="9">
        <v>39363</v>
      </c>
      <c r="D16" s="3">
        <f>'Показатели преступности России'!U17*1000</f>
        <v>68776</v>
      </c>
      <c r="F16" s="109" t="s">
        <v>100</v>
      </c>
      <c r="G16" s="91"/>
      <c r="H16" s="92"/>
      <c r="I16" s="54"/>
      <c r="O16" s="13">
        <v>14</v>
      </c>
      <c r="P16" s="21" t="s">
        <v>17</v>
      </c>
      <c r="Q16" s="9">
        <v>39363</v>
      </c>
      <c r="R16" s="20">
        <f>'Показатели преступности России'!D17</f>
        <v>68776</v>
      </c>
      <c r="T16" s="37">
        <f t="shared" si="0"/>
        <v>68776</v>
      </c>
      <c r="U16" s="36">
        <f t="shared" si="1"/>
        <v>39363</v>
      </c>
      <c r="V16" s="36">
        <f t="shared" si="2"/>
        <v>2707229688</v>
      </c>
      <c r="W16" s="46">
        <f t="shared" si="3"/>
        <v>1018102116.9826564</v>
      </c>
      <c r="X16" s="46">
        <f t="shared" si="4"/>
        <v>4730138176</v>
      </c>
      <c r="Y16" s="3">
        <f t="shared" si="5"/>
        <v>1549445769</v>
      </c>
      <c r="AK16" s="99"/>
      <c r="AL16" s="99"/>
      <c r="AM16" s="99"/>
      <c r="AN16" s="99"/>
      <c r="AO16" s="99"/>
      <c r="AP16" s="99"/>
      <c r="AR16" s="45">
        <f t="shared" si="6"/>
        <v>11.13861012585428</v>
      </c>
      <c r="AS16" s="46">
        <f t="shared" si="7"/>
        <v>10.580581567773825</v>
      </c>
      <c r="AT16" s="36">
        <f t="shared" si="8"/>
        <v>117.85297298823268</v>
      </c>
      <c r="AU16" s="46">
        <f t="shared" si="9"/>
        <v>0.79993100423715857</v>
      </c>
      <c r="AV16" s="46">
        <f t="shared" si="10"/>
        <v>124.0686355357835</v>
      </c>
      <c r="AW16" s="3">
        <f t="shared" si="11"/>
        <v>111.94870631231521</v>
      </c>
    </row>
    <row r="17" spans="1:49" ht="15" thickBot="1" x14ac:dyDescent="0.35">
      <c r="A17" s="13">
        <v>15</v>
      </c>
      <c r="B17" s="21" t="s">
        <v>18</v>
      </c>
      <c r="C17" s="9">
        <v>7557</v>
      </c>
      <c r="D17" s="3">
        <f>'Показатели преступности России'!U18*1000</f>
        <v>54876</v>
      </c>
      <c r="F17" s="54"/>
      <c r="G17" s="54"/>
      <c r="H17" s="54"/>
      <c r="I17" s="54"/>
      <c r="O17" s="15">
        <v>15</v>
      </c>
      <c r="P17" s="21" t="s">
        <v>18</v>
      </c>
      <c r="Q17" s="9">
        <v>7557</v>
      </c>
      <c r="R17" s="20">
        <f>'Показатели преступности России'!D18</f>
        <v>54876</v>
      </c>
      <c r="T17" s="37">
        <f t="shared" si="0"/>
        <v>54876</v>
      </c>
      <c r="U17" s="36">
        <f t="shared" si="1"/>
        <v>7557</v>
      </c>
      <c r="V17" s="36">
        <f t="shared" si="2"/>
        <v>414697932</v>
      </c>
      <c r="W17" s="46">
        <f t="shared" si="3"/>
        <v>324277709.4826563</v>
      </c>
      <c r="X17" s="46">
        <f t="shared" si="4"/>
        <v>3011375376</v>
      </c>
      <c r="Y17" s="3">
        <f t="shared" si="5"/>
        <v>57108249</v>
      </c>
      <c r="AK17" s="99"/>
      <c r="AL17" s="99"/>
      <c r="AM17" s="99"/>
      <c r="AN17" s="99"/>
      <c r="AO17" s="99"/>
      <c r="AP17" s="99"/>
      <c r="AR17" s="45">
        <f t="shared" si="6"/>
        <v>10.912831373446055</v>
      </c>
      <c r="AS17" s="46">
        <f t="shared" si="7"/>
        <v>8.9302295650207206</v>
      </c>
      <c r="AT17" s="36">
        <f t="shared" si="8"/>
        <v>97.454089369233643</v>
      </c>
      <c r="AU17" s="46">
        <f t="shared" si="9"/>
        <v>0.44703915552824247</v>
      </c>
      <c r="AV17" s="46">
        <f t="shared" si="10"/>
        <v>119.08988858526851</v>
      </c>
      <c r="AW17" s="3">
        <f t="shared" si="11"/>
        <v>79.749000083970174</v>
      </c>
    </row>
    <row r="18" spans="1:49" ht="15" thickBot="1" x14ac:dyDescent="0.35">
      <c r="A18" s="13">
        <v>16</v>
      </c>
      <c r="B18" s="21" t="s">
        <v>19</v>
      </c>
      <c r="C18" s="9">
        <v>13269</v>
      </c>
      <c r="D18" s="3">
        <f>'Показатели преступности России'!U19*1000</f>
        <v>27105</v>
      </c>
      <c r="F18" s="54"/>
      <c r="G18" s="54"/>
      <c r="H18" s="54"/>
      <c r="I18" s="54"/>
      <c r="O18" s="13">
        <v>16</v>
      </c>
      <c r="P18" s="21" t="s">
        <v>19</v>
      </c>
      <c r="Q18" s="9">
        <v>13269</v>
      </c>
      <c r="R18" s="20">
        <f>'Показатели преступности России'!D19</f>
        <v>27105</v>
      </c>
      <c r="T18" s="37">
        <f t="shared" si="0"/>
        <v>27105</v>
      </c>
      <c r="U18" s="36">
        <f t="shared" si="1"/>
        <v>13269</v>
      </c>
      <c r="V18" s="36">
        <f t="shared" si="2"/>
        <v>359656245</v>
      </c>
      <c r="W18" s="46">
        <f t="shared" si="3"/>
        <v>95321782.807656229</v>
      </c>
      <c r="X18" s="46">
        <f t="shared" si="4"/>
        <v>734681025</v>
      </c>
      <c r="Y18" s="3">
        <f t="shared" si="5"/>
        <v>176066361</v>
      </c>
      <c r="AK18" s="99"/>
      <c r="AL18" s="99"/>
      <c r="AM18" s="99"/>
      <c r="AN18" s="99"/>
      <c r="AO18" s="99"/>
      <c r="AP18" s="99"/>
      <c r="AR18" s="45">
        <f t="shared" si="6"/>
        <v>10.207473491694438</v>
      </c>
      <c r="AS18" s="46">
        <f t="shared" si="7"/>
        <v>9.4931857665364365</v>
      </c>
      <c r="AT18" s="36">
        <f t="shared" si="8"/>
        <v>96.901442063651629</v>
      </c>
      <c r="AU18" s="46">
        <f t="shared" si="9"/>
        <v>1.3504165179172016E-3</v>
      </c>
      <c r="AV18" s="46">
        <f t="shared" si="10"/>
        <v>104.19251508364465</v>
      </c>
      <c r="AW18" s="3">
        <f t="shared" si="11"/>
        <v>90.120575997969993</v>
      </c>
    </row>
    <row r="19" spans="1:49" ht="15" thickBot="1" x14ac:dyDescent="0.35">
      <c r="A19" s="13">
        <v>17</v>
      </c>
      <c r="B19" s="21" t="s">
        <v>20</v>
      </c>
      <c r="C19" s="9">
        <v>15961</v>
      </c>
      <c r="D19" s="3">
        <f>'Показатели преступности России'!U20*1000</f>
        <v>22592</v>
      </c>
      <c r="F19" s="54"/>
      <c r="G19" s="54"/>
      <c r="H19" s="54"/>
      <c r="I19" s="54"/>
      <c r="O19" s="15">
        <v>17</v>
      </c>
      <c r="P19" s="21" t="s">
        <v>20</v>
      </c>
      <c r="Q19" s="9">
        <v>15961</v>
      </c>
      <c r="R19" s="20">
        <f>'Показатели преступности России'!D20</f>
        <v>22592</v>
      </c>
      <c r="T19" s="37">
        <f t="shared" si="0"/>
        <v>22592</v>
      </c>
      <c r="U19" s="36">
        <f t="shared" si="1"/>
        <v>15961</v>
      </c>
      <c r="V19" s="36">
        <f t="shared" si="2"/>
        <v>360590912</v>
      </c>
      <c r="W19" s="46">
        <f t="shared" si="3"/>
        <v>203812384.78265622</v>
      </c>
      <c r="X19" s="46">
        <f t="shared" si="4"/>
        <v>510398464</v>
      </c>
      <c r="Y19" s="3">
        <f t="shared" si="5"/>
        <v>254753521</v>
      </c>
      <c r="AK19" s="99"/>
      <c r="AL19" s="99"/>
      <c r="AM19" s="99"/>
      <c r="AN19" s="99"/>
      <c r="AO19" s="99"/>
      <c r="AP19" s="99"/>
      <c r="AR19" s="45">
        <f t="shared" si="6"/>
        <v>10.025351140292969</v>
      </c>
      <c r="AS19" s="46">
        <f t="shared" si="7"/>
        <v>9.6779035256825576</v>
      </c>
      <c r="AT19" s="36">
        <f t="shared" si="8"/>
        <v>97.024381146846977</v>
      </c>
      <c r="AU19" s="46">
        <f t="shared" si="9"/>
        <v>4.790423676147227E-2</v>
      </c>
      <c r="AV19" s="46">
        <f t="shared" si="10"/>
        <v>100.50766548617354</v>
      </c>
      <c r="AW19" s="3">
        <f t="shared" si="11"/>
        <v>93.661816652418878</v>
      </c>
    </row>
    <row r="20" spans="1:49" ht="15" thickBot="1" x14ac:dyDescent="0.35">
      <c r="A20" s="13">
        <v>18</v>
      </c>
      <c r="B20" s="21" t="s">
        <v>21</v>
      </c>
      <c r="C20" s="9">
        <v>5909</v>
      </c>
      <c r="D20" s="3">
        <f>'Показатели преступности России'!U21*1000</f>
        <v>5840</v>
      </c>
      <c r="F20" s="54"/>
      <c r="G20" s="54"/>
      <c r="H20" s="54"/>
      <c r="I20" s="54"/>
      <c r="O20" s="13">
        <v>18</v>
      </c>
      <c r="P20" s="21" t="s">
        <v>21</v>
      </c>
      <c r="Q20" s="9">
        <v>5909</v>
      </c>
      <c r="R20" s="20">
        <f>'Показатели преступности России'!D21</f>
        <v>5840</v>
      </c>
      <c r="T20" s="37">
        <f t="shared" si="0"/>
        <v>5840</v>
      </c>
      <c r="U20" s="36">
        <f t="shared" si="1"/>
        <v>5909</v>
      </c>
      <c r="V20" s="36">
        <f t="shared" si="2"/>
        <v>34508560</v>
      </c>
      <c r="W20" s="46">
        <f t="shared" si="3"/>
        <v>962754625.18265617</v>
      </c>
      <c r="X20" s="46">
        <f t="shared" si="4"/>
        <v>34105600</v>
      </c>
      <c r="Y20" s="3">
        <f t="shared" si="5"/>
        <v>34916281</v>
      </c>
      <c r="AK20" s="99"/>
      <c r="AL20" s="99"/>
      <c r="AM20" s="99"/>
      <c r="AN20" s="99"/>
      <c r="AO20" s="99"/>
      <c r="AP20" s="99"/>
      <c r="AR20" s="45">
        <f t="shared" si="6"/>
        <v>8.6724860758222722</v>
      </c>
      <c r="AS20" s="46">
        <f t="shared" si="7"/>
        <v>8.6842318913456751</v>
      </c>
      <c r="AT20" s="36">
        <f t="shared" si="8"/>
        <v>75.313880156907089</v>
      </c>
      <c r="AU20" s="46">
        <f t="shared" si="9"/>
        <v>2.4703522608727289</v>
      </c>
      <c r="AV20" s="46">
        <f t="shared" si="10"/>
        <v>75.212014735331195</v>
      </c>
      <c r="AW20" s="3">
        <f t="shared" si="11"/>
        <v>75.415883542665284</v>
      </c>
    </row>
    <row r="21" spans="1:49" ht="15" thickBot="1" x14ac:dyDescent="0.35">
      <c r="A21" s="13">
        <v>19</v>
      </c>
      <c r="B21" s="21" t="s">
        <v>22</v>
      </c>
      <c r="C21" s="9">
        <v>4345</v>
      </c>
      <c r="D21" s="3">
        <f>'Показатели преступности России'!U22*1000</f>
        <v>26425</v>
      </c>
      <c r="O21" s="15">
        <v>19</v>
      </c>
      <c r="P21" s="21" t="s">
        <v>22</v>
      </c>
      <c r="Q21" s="9">
        <v>4345</v>
      </c>
      <c r="R21" s="20">
        <f>'Показатели преступности России'!D22</f>
        <v>26425</v>
      </c>
      <c r="T21" s="37">
        <f t="shared" si="0"/>
        <v>26425</v>
      </c>
      <c r="U21" s="36">
        <f t="shared" si="1"/>
        <v>4345</v>
      </c>
      <c r="V21" s="36">
        <f t="shared" si="2"/>
        <v>114816625</v>
      </c>
      <c r="W21" s="46">
        <f t="shared" si="3"/>
        <v>109062253.80765621</v>
      </c>
      <c r="X21" s="46">
        <f t="shared" si="4"/>
        <v>698280625</v>
      </c>
      <c r="Y21" s="3">
        <f t="shared" si="5"/>
        <v>18879025</v>
      </c>
      <c r="AR21" s="45">
        <f t="shared" si="6"/>
        <v>10.182065810738438</v>
      </c>
      <c r="AS21" s="46">
        <f t="shared" si="7"/>
        <v>8.3767810376994927</v>
      </c>
      <c r="AT21" s="36">
        <f t="shared" si="8"/>
        <v>85.292935808002056</v>
      </c>
      <c r="AU21" s="46">
        <f t="shared" si="9"/>
        <v>3.8633303900466767E-3</v>
      </c>
      <c r="AV21" s="46">
        <f t="shared" si="10"/>
        <v>103.67446417420861</v>
      </c>
      <c r="AW21" s="3">
        <f t="shared" si="11"/>
        <v>70.170460553561796</v>
      </c>
    </row>
    <row r="22" spans="1:49" ht="15" thickBot="1" x14ac:dyDescent="0.35">
      <c r="A22" s="13">
        <v>20</v>
      </c>
      <c r="B22" s="21" t="s">
        <v>23</v>
      </c>
      <c r="C22" s="9">
        <v>50465</v>
      </c>
      <c r="D22" s="3">
        <f>'Показатели преступности России'!U23*1000</f>
        <v>68552</v>
      </c>
      <c r="O22" s="13">
        <v>20</v>
      </c>
      <c r="P22" s="21" t="s">
        <v>23</v>
      </c>
      <c r="Q22" s="9">
        <v>50465</v>
      </c>
      <c r="R22" s="20">
        <f>'Показатели преступности России'!D23</f>
        <v>68552</v>
      </c>
      <c r="T22" s="37">
        <f t="shared" si="0"/>
        <v>68552</v>
      </c>
      <c r="U22" s="36">
        <f t="shared" si="1"/>
        <v>50465</v>
      </c>
      <c r="V22" s="36">
        <f t="shared" si="2"/>
        <v>3459476680</v>
      </c>
      <c r="W22" s="46">
        <f t="shared" si="3"/>
        <v>1003857637.7826563</v>
      </c>
      <c r="X22" s="46">
        <f t="shared" si="4"/>
        <v>4699376704</v>
      </c>
      <c r="Y22" s="3">
        <f t="shared" si="5"/>
        <v>2546716225</v>
      </c>
      <c r="AR22" s="45">
        <f t="shared" si="6"/>
        <v>11.135347860348954</v>
      </c>
      <c r="AS22" s="46">
        <f t="shared" si="7"/>
        <v>10.82903530567296</v>
      </c>
      <c r="AT22" s="36">
        <f t="shared" si="8"/>
        <v>120.58507512066868</v>
      </c>
      <c r="AU22" s="46">
        <f t="shared" si="9"/>
        <v>0.79410618032424529</v>
      </c>
      <c r="AV22" s="46">
        <f t="shared" si="10"/>
        <v>123.99597197097803</v>
      </c>
      <c r="AW22" s="3">
        <f t="shared" si="11"/>
        <v>117.26800565151146</v>
      </c>
    </row>
    <row r="23" spans="1:49" ht="15" thickBot="1" x14ac:dyDescent="0.35">
      <c r="A23" s="13">
        <v>21</v>
      </c>
      <c r="B23" s="21" t="s">
        <v>24</v>
      </c>
      <c r="C23" s="9">
        <v>19034</v>
      </c>
      <c r="D23" s="3">
        <f>'Показатели преступности России'!U24*1000</f>
        <v>29046</v>
      </c>
      <c r="O23" s="15">
        <v>21</v>
      </c>
      <c r="P23" s="21" t="s">
        <v>24</v>
      </c>
      <c r="Q23" s="9">
        <v>19034</v>
      </c>
      <c r="R23" s="20">
        <f>'Показатели преступности России'!D24</f>
        <v>29046</v>
      </c>
      <c r="T23" s="37">
        <f t="shared" si="0"/>
        <v>29046</v>
      </c>
      <c r="U23" s="36">
        <f t="shared" si="1"/>
        <v>19034</v>
      </c>
      <c r="V23" s="36">
        <f t="shared" si="2"/>
        <v>552861564</v>
      </c>
      <c r="W23" s="46">
        <f t="shared" si="3"/>
        <v>61188181.732656226</v>
      </c>
      <c r="X23" s="46">
        <f t="shared" si="4"/>
        <v>843670116</v>
      </c>
      <c r="Y23" s="3">
        <f t="shared" si="5"/>
        <v>362293156</v>
      </c>
      <c r="AR23" s="45">
        <f t="shared" si="6"/>
        <v>10.27663605916775</v>
      </c>
      <c r="AS23" s="46">
        <f t="shared" si="7"/>
        <v>9.8539821326322894</v>
      </c>
      <c r="AT23" s="36">
        <f t="shared" si="8"/>
        <v>101.26578811060371</v>
      </c>
      <c r="AU23" s="46">
        <f t="shared" si="9"/>
        <v>1.0507032901291202E-3</v>
      </c>
      <c r="AV23" s="46">
        <f t="shared" si="10"/>
        <v>105.60924869258686</v>
      </c>
      <c r="AW23" s="3">
        <f t="shared" si="11"/>
        <v>97.100963870236399</v>
      </c>
    </row>
    <row r="24" spans="1:49" ht="15" thickBot="1" x14ac:dyDescent="0.35">
      <c r="A24" s="13">
        <v>22</v>
      </c>
      <c r="B24" s="21" t="s">
        <v>25</v>
      </c>
      <c r="C24" s="9">
        <v>8927</v>
      </c>
      <c r="D24" s="3">
        <f>'Показатели преступности России'!U25*1000</f>
        <v>12404</v>
      </c>
      <c r="O24" s="13">
        <v>22</v>
      </c>
      <c r="P24" s="21" t="s">
        <v>25</v>
      </c>
      <c r="Q24" s="9">
        <v>8927</v>
      </c>
      <c r="R24" s="20">
        <f>'Показатели преступности России'!D25</f>
        <v>12404</v>
      </c>
      <c r="T24" s="37">
        <f t="shared" si="0"/>
        <v>12404</v>
      </c>
      <c r="U24" s="36">
        <f t="shared" si="1"/>
        <v>8927</v>
      </c>
      <c r="V24" s="36">
        <f t="shared" si="2"/>
        <v>110730508</v>
      </c>
      <c r="W24" s="46">
        <f t="shared" si="3"/>
        <v>598501362.88265622</v>
      </c>
      <c r="X24" s="46">
        <f t="shared" si="4"/>
        <v>153859216</v>
      </c>
      <c r="Y24" s="3">
        <f t="shared" si="5"/>
        <v>79691329</v>
      </c>
      <c r="AA24" s="82" t="s">
        <v>101</v>
      </c>
      <c r="AB24" s="83"/>
      <c r="AC24" s="83"/>
      <c r="AD24" s="84"/>
      <c r="AR24" s="45">
        <f t="shared" si="6"/>
        <v>9.4257742802203399</v>
      </c>
      <c r="AS24" s="46">
        <f t="shared" si="7"/>
        <v>9.0968356711793614</v>
      </c>
      <c r="AT24" s="36">
        <f t="shared" si="8"/>
        <v>85.744719700793354</v>
      </c>
      <c r="AU24" s="46">
        <f t="shared" si="9"/>
        <v>0.66985586055157031</v>
      </c>
      <c r="AV24" s="46">
        <f t="shared" si="10"/>
        <v>88.845220781663272</v>
      </c>
      <c r="AW24" s="3">
        <f t="shared" si="11"/>
        <v>82.752419228441269</v>
      </c>
    </row>
    <row r="25" spans="1:49" ht="15" thickBot="1" x14ac:dyDescent="0.35">
      <c r="A25" s="13">
        <v>23</v>
      </c>
      <c r="B25" s="30" t="s">
        <v>26</v>
      </c>
      <c r="C25" s="29">
        <v>78183</v>
      </c>
      <c r="D25" s="28">
        <f>'Показатели преступности России'!U26*1000</f>
        <v>145782</v>
      </c>
      <c r="O25" s="15">
        <v>23</v>
      </c>
      <c r="P25" s="21" t="s">
        <v>27</v>
      </c>
      <c r="Q25" s="9">
        <v>47027</v>
      </c>
      <c r="R25" s="20">
        <f>'Показатели преступности России'!D27</f>
        <v>51356</v>
      </c>
      <c r="T25" s="37">
        <f t="shared" si="0"/>
        <v>51356</v>
      </c>
      <c r="U25" s="36">
        <f t="shared" si="1"/>
        <v>47027</v>
      </c>
      <c r="V25" s="36">
        <f t="shared" si="2"/>
        <v>2415118612</v>
      </c>
      <c r="W25" s="46">
        <f t="shared" si="3"/>
        <v>209893813.4826563</v>
      </c>
      <c r="X25" s="46">
        <f t="shared" si="4"/>
        <v>2637438736</v>
      </c>
      <c r="Y25" s="3">
        <f t="shared" si="5"/>
        <v>2211538729</v>
      </c>
      <c r="AA25" s="85"/>
      <c r="AB25" s="86"/>
      <c r="AC25" s="86"/>
      <c r="AD25" s="87"/>
      <c r="AR25" s="45">
        <f t="shared" si="6"/>
        <v>10.846537053710975</v>
      </c>
      <c r="AS25" s="46">
        <f t="shared" si="7"/>
        <v>10.758477183833678</v>
      </c>
      <c r="AT25" s="36">
        <f t="shared" si="8"/>
        <v>116.69222141595608</v>
      </c>
      <c r="AU25" s="46">
        <f t="shared" si="9"/>
        <v>0.36278401962875961</v>
      </c>
      <c r="AV25" s="46">
        <f t="shared" si="10"/>
        <v>117.64736605752516</v>
      </c>
      <c r="AW25" s="3">
        <f t="shared" si="11"/>
        <v>115.74483131506983</v>
      </c>
    </row>
    <row r="26" spans="1:49" ht="15" thickBot="1" x14ac:dyDescent="0.35">
      <c r="A26" s="13">
        <v>24</v>
      </c>
      <c r="B26" s="21" t="s">
        <v>27</v>
      </c>
      <c r="C26" s="9">
        <v>47027</v>
      </c>
      <c r="D26" s="3">
        <f>'Показатели преступности России'!U27*1000</f>
        <v>51356</v>
      </c>
      <c r="O26" s="13">
        <v>24</v>
      </c>
      <c r="P26" s="21" t="s">
        <v>28</v>
      </c>
      <c r="Q26" s="9">
        <v>14765</v>
      </c>
      <c r="R26" s="20">
        <f>'Показатели преступности России'!D28</f>
        <v>26605</v>
      </c>
      <c r="T26" s="37">
        <f t="shared" si="0"/>
        <v>26605</v>
      </c>
      <c r="U26" s="36">
        <f t="shared" si="1"/>
        <v>14765</v>
      </c>
      <c r="V26" s="36">
        <f t="shared" si="2"/>
        <v>392822825</v>
      </c>
      <c r="W26" s="46">
        <f t="shared" si="3"/>
        <v>105335070.30765621</v>
      </c>
      <c r="X26" s="46">
        <f t="shared" si="4"/>
        <v>707826025</v>
      </c>
      <c r="Y26" s="3">
        <f t="shared" si="5"/>
        <v>218005225</v>
      </c>
      <c r="AA26" s="85"/>
      <c r="AB26" s="86"/>
      <c r="AC26" s="86"/>
      <c r="AD26" s="87"/>
      <c r="AR26" s="45">
        <f t="shared" si="6"/>
        <v>10.18885444703047</v>
      </c>
      <c r="AS26" s="46">
        <f t="shared" si="7"/>
        <v>9.6000147941780227</v>
      </c>
      <c r="AT26" s="36">
        <f t="shared" si="8"/>
        <v>97.813153427219049</v>
      </c>
      <c r="AU26" s="46">
        <f t="shared" si="9"/>
        <v>3.0655111624585591E-3</v>
      </c>
      <c r="AV26" s="46">
        <f t="shared" si="10"/>
        <v>103.8127549427726</v>
      </c>
      <c r="AW26" s="3">
        <f t="shared" si="11"/>
        <v>92.160284048436907</v>
      </c>
    </row>
    <row r="27" spans="1:49" ht="15" thickBot="1" x14ac:dyDescent="0.35">
      <c r="A27" s="13">
        <v>25</v>
      </c>
      <c r="B27" s="21" t="s">
        <v>28</v>
      </c>
      <c r="C27" s="9">
        <v>14765</v>
      </c>
      <c r="D27" s="3">
        <f>'Показатели преступности России'!U28*1000</f>
        <v>26605</v>
      </c>
      <c r="O27" s="15">
        <v>25</v>
      </c>
      <c r="P27" s="21" t="s">
        <v>29</v>
      </c>
      <c r="Q27" s="9">
        <v>13538</v>
      </c>
      <c r="R27" s="20">
        <f>'Показатели преступности России'!D29</f>
        <v>22315</v>
      </c>
      <c r="T27" s="37">
        <f t="shared" si="0"/>
        <v>22315</v>
      </c>
      <c r="U27" s="36">
        <f t="shared" si="1"/>
        <v>13538</v>
      </c>
      <c r="V27" s="36">
        <f t="shared" si="2"/>
        <v>302100470</v>
      </c>
      <c r="W27" s="46">
        <f t="shared" si="3"/>
        <v>211798177.0576562</v>
      </c>
      <c r="X27" s="46">
        <f t="shared" si="4"/>
        <v>497959225</v>
      </c>
      <c r="Y27" s="3">
        <f t="shared" si="5"/>
        <v>183277444</v>
      </c>
      <c r="AA27" s="85"/>
      <c r="AB27" s="86"/>
      <c r="AC27" s="86"/>
      <c r="AD27" s="87"/>
      <c r="AR27" s="45">
        <f t="shared" si="6"/>
        <v>10.013014377063371</v>
      </c>
      <c r="AS27" s="46">
        <f t="shared" si="7"/>
        <v>9.5132558250685531</v>
      </c>
      <c r="AT27" s="36">
        <f t="shared" si="8"/>
        <v>95.256367349093281</v>
      </c>
      <c r="AU27" s="46">
        <f t="shared" si="9"/>
        <v>5.3456736235277781E-2</v>
      </c>
      <c r="AV27" s="46">
        <f t="shared" si="10"/>
        <v>100.26045691527776</v>
      </c>
      <c r="AW27" s="3">
        <f t="shared" si="11"/>
        <v>90.502036393200754</v>
      </c>
    </row>
    <row r="28" spans="1:49" ht="15" thickBot="1" x14ac:dyDescent="0.35">
      <c r="A28" s="13">
        <v>26</v>
      </c>
      <c r="B28" s="21" t="s">
        <v>29</v>
      </c>
      <c r="C28" s="9">
        <v>13538</v>
      </c>
      <c r="D28" s="3">
        <f>'Показатели преступности России'!U29*1000</f>
        <v>22315</v>
      </c>
      <c r="O28" s="13">
        <v>26</v>
      </c>
      <c r="P28" s="21" t="s">
        <v>30</v>
      </c>
      <c r="Q28" s="9">
        <v>27092</v>
      </c>
      <c r="R28" s="20">
        <f>'Показатели преступности России'!D30</f>
        <v>39681</v>
      </c>
      <c r="T28" s="37">
        <f t="shared" si="0"/>
        <v>39681</v>
      </c>
      <c r="U28" s="36">
        <f t="shared" si="1"/>
        <v>27092</v>
      </c>
      <c r="V28" s="36">
        <f t="shared" si="2"/>
        <v>1075037652</v>
      </c>
      <c r="W28" s="46">
        <f t="shared" si="3"/>
        <v>7911351.6076562582</v>
      </c>
      <c r="X28" s="46">
        <f t="shared" si="4"/>
        <v>1574581761</v>
      </c>
      <c r="Y28" s="3">
        <f t="shared" si="5"/>
        <v>733976464</v>
      </c>
      <c r="AA28" s="85"/>
      <c r="AB28" s="86"/>
      <c r="AC28" s="86"/>
      <c r="AD28" s="87"/>
      <c r="AR28" s="45">
        <f t="shared" si="6"/>
        <v>10.588627762694157</v>
      </c>
      <c r="AS28" s="46">
        <f t="shared" si="7"/>
        <v>10.206993760334795</v>
      </c>
      <c r="AT28" s="36">
        <f t="shared" si="8"/>
        <v>108.07805750432705</v>
      </c>
      <c r="AU28" s="46">
        <f t="shared" si="9"/>
        <v>0.11861567000139114</v>
      </c>
      <c r="AV28" s="46">
        <f t="shared" si="10"/>
        <v>112.11903789689748</v>
      </c>
      <c r="AW28" s="3">
        <f t="shared" si="11"/>
        <v>104.18272162351343</v>
      </c>
    </row>
    <row r="29" spans="1:49" ht="15" thickBot="1" x14ac:dyDescent="0.35">
      <c r="A29" s="13">
        <v>27</v>
      </c>
      <c r="B29" s="21" t="s">
        <v>30</v>
      </c>
      <c r="C29" s="9">
        <v>27092</v>
      </c>
      <c r="D29" s="3">
        <f>'Показатели преступности России'!U30*1000</f>
        <v>39681</v>
      </c>
      <c r="O29" s="15">
        <v>27</v>
      </c>
      <c r="P29" s="21" t="s">
        <v>31</v>
      </c>
      <c r="Q29" s="9">
        <v>13073</v>
      </c>
      <c r="R29" s="20">
        <f>'Показатели преступности России'!D31</f>
        <v>26114</v>
      </c>
      <c r="T29" s="37">
        <f t="shared" si="0"/>
        <v>26114</v>
      </c>
      <c r="U29" s="36">
        <f t="shared" si="1"/>
        <v>13073</v>
      </c>
      <c r="V29" s="36">
        <f t="shared" si="2"/>
        <v>341388322</v>
      </c>
      <c r="W29" s="46">
        <f t="shared" si="3"/>
        <v>115654699.63265622</v>
      </c>
      <c r="X29" s="46">
        <f t="shared" si="4"/>
        <v>681940996</v>
      </c>
      <c r="Y29" s="3">
        <f t="shared" si="5"/>
        <v>170903329</v>
      </c>
      <c r="AA29" s="88"/>
      <c r="AB29" s="89"/>
      <c r="AC29" s="89"/>
      <c r="AD29" s="90"/>
      <c r="AR29" s="45">
        <f t="shared" si="6"/>
        <v>10.170226847967983</v>
      </c>
      <c r="AS29" s="46">
        <f t="shared" si="7"/>
        <v>9.4783043135618605</v>
      </c>
      <c r="AT29" s="36">
        <f t="shared" si="8"/>
        <v>96.396505002997586</v>
      </c>
      <c r="AU29" s="46">
        <f t="shared" si="9"/>
        <v>5.4752093417973265E-3</v>
      </c>
      <c r="AV29" s="46">
        <f t="shared" si="10"/>
        <v>103.43351413912879</v>
      </c>
      <c r="AW29" s="3">
        <f t="shared" si="11"/>
        <v>89.838252660485367</v>
      </c>
    </row>
    <row r="30" spans="1:49" ht="15" thickBot="1" x14ac:dyDescent="0.35">
      <c r="A30" s="13">
        <v>28</v>
      </c>
      <c r="B30" s="21" t="s">
        <v>31</v>
      </c>
      <c r="C30" s="9">
        <v>13073</v>
      </c>
      <c r="D30" s="3">
        <f>'Показатели преступности России'!U31*1000</f>
        <v>26114</v>
      </c>
      <c r="O30" s="13">
        <v>28</v>
      </c>
      <c r="P30" s="21" t="s">
        <v>32</v>
      </c>
      <c r="Q30" s="9">
        <v>2562</v>
      </c>
      <c r="R30" s="20">
        <f>'Показатели преступности России'!D32</f>
        <v>4281</v>
      </c>
      <c r="T30" s="37">
        <f t="shared" si="0"/>
        <v>4281</v>
      </c>
      <c r="U30" s="36">
        <f t="shared" si="1"/>
        <v>2562</v>
      </c>
      <c r="V30" s="36">
        <f t="shared" si="2"/>
        <v>10967922</v>
      </c>
      <c r="W30" s="46">
        <f t="shared" si="3"/>
        <v>1061931306.6076561</v>
      </c>
      <c r="X30" s="46">
        <f t="shared" si="4"/>
        <v>18326961</v>
      </c>
      <c r="Y30" s="3">
        <f t="shared" si="5"/>
        <v>6563844</v>
      </c>
      <c r="AR30" s="45">
        <f t="shared" si="6"/>
        <v>8.3619419061449456</v>
      </c>
      <c r="AS30" s="46">
        <f t="shared" si="7"/>
        <v>7.8485434824566793</v>
      </c>
      <c r="AT30" s="36">
        <f t="shared" si="8"/>
        <v>65.629064648155293</v>
      </c>
      <c r="AU30" s="46">
        <f t="shared" si="9"/>
        <v>3.542976490110497</v>
      </c>
      <c r="AV30" s="46">
        <f t="shared" si="10"/>
        <v>69.922072441742969</v>
      </c>
      <c r="AW30" s="3">
        <f t="shared" si="11"/>
        <v>61.59963479601322</v>
      </c>
    </row>
    <row r="31" spans="1:49" ht="15" thickBot="1" x14ac:dyDescent="0.35">
      <c r="A31" s="13">
        <v>29</v>
      </c>
      <c r="B31" s="21" t="s">
        <v>32</v>
      </c>
      <c r="C31" s="9">
        <v>2562</v>
      </c>
      <c r="D31" s="3">
        <f>'Показатели преступности России'!U32*1000</f>
        <v>4281</v>
      </c>
      <c r="O31" s="15">
        <v>29</v>
      </c>
      <c r="P31" s="21" t="s">
        <v>34</v>
      </c>
      <c r="Q31" s="9">
        <v>12096</v>
      </c>
      <c r="R31" s="20">
        <f>'Показатели преступности России'!D34</f>
        <v>22113</v>
      </c>
      <c r="T31" s="37">
        <f t="shared" si="0"/>
        <v>22113</v>
      </c>
      <c r="U31" s="36">
        <f t="shared" si="1"/>
        <v>12096</v>
      </c>
      <c r="V31" s="36">
        <f t="shared" si="2"/>
        <v>267478848</v>
      </c>
      <c r="W31" s="46">
        <f t="shared" si="3"/>
        <v>217718509.2076562</v>
      </c>
      <c r="X31" s="46">
        <f t="shared" si="4"/>
        <v>488984769</v>
      </c>
      <c r="Y31" s="3">
        <f t="shared" si="5"/>
        <v>146313216</v>
      </c>
      <c r="AR31" s="45">
        <f t="shared" si="6"/>
        <v>10.003920949857399</v>
      </c>
      <c r="AS31" s="46">
        <f t="shared" si="7"/>
        <v>9.400630098419315</v>
      </c>
      <c r="AT31" s="36">
        <f t="shared" si="8"/>
        <v>94.043160383437012</v>
      </c>
      <c r="AU31" s="46">
        <f t="shared" si="9"/>
        <v>5.7744357037326416E-2</v>
      </c>
      <c r="AV31" s="46">
        <f t="shared" si="10"/>
        <v>100.07843437099577</v>
      </c>
      <c r="AW31" s="3">
        <f t="shared" si="11"/>
        <v>88.371846247307133</v>
      </c>
    </row>
    <row r="32" spans="1:49" ht="15" thickBot="1" x14ac:dyDescent="0.35">
      <c r="A32" s="13">
        <v>30</v>
      </c>
      <c r="B32" s="30" t="s">
        <v>33</v>
      </c>
      <c r="C32" s="29">
        <v>73780</v>
      </c>
      <c r="D32" s="28">
        <f>'Показатели преступности России'!U33*1000</f>
        <v>154074</v>
      </c>
      <c r="O32" s="13">
        <v>30</v>
      </c>
      <c r="P32" s="21" t="s">
        <v>35</v>
      </c>
      <c r="Q32" s="9">
        <v>852</v>
      </c>
      <c r="R32" s="20">
        <f>'Показатели преступности России'!D35</f>
        <v>1530</v>
      </c>
      <c r="T32" s="37">
        <f t="shared" si="0"/>
        <v>1530</v>
      </c>
      <c r="U32" s="36">
        <f t="shared" si="1"/>
        <v>852</v>
      </c>
      <c r="V32" s="36">
        <f t="shared" si="2"/>
        <v>1303560</v>
      </c>
      <c r="W32" s="46">
        <f t="shared" si="3"/>
        <v>1248794563.432656</v>
      </c>
      <c r="X32" s="46">
        <f t="shared" si="4"/>
        <v>2340900</v>
      </c>
      <c r="Y32" s="3">
        <f t="shared" si="5"/>
        <v>725904</v>
      </c>
      <c r="AR32" s="45">
        <f t="shared" si="6"/>
        <v>7.3330230143864812</v>
      </c>
      <c r="AS32" s="46">
        <f t="shared" si="7"/>
        <v>6.7475865268293154</v>
      </c>
      <c r="AT32" s="36">
        <f t="shared" si="8"/>
        <v>49.480207292803513</v>
      </c>
      <c r="AU32" s="46">
        <f t="shared" si="9"/>
        <v>8.4750766546032779</v>
      </c>
      <c r="AV32" s="46">
        <f t="shared" si="10"/>
        <v>53.773226529521793</v>
      </c>
      <c r="AW32" s="3">
        <f t="shared" si="11"/>
        <v>45.529923937048501</v>
      </c>
    </row>
    <row r="33" spans="1:49" ht="15" thickBot="1" x14ac:dyDescent="0.35">
      <c r="A33" s="13">
        <v>31</v>
      </c>
      <c r="B33" s="21" t="s">
        <v>34</v>
      </c>
      <c r="C33" s="9">
        <v>12096</v>
      </c>
      <c r="D33" s="3">
        <f>'Показатели преступности России'!U34*1000</f>
        <v>22113</v>
      </c>
      <c r="O33" s="15">
        <v>31</v>
      </c>
      <c r="P33" s="21" t="s">
        <v>36</v>
      </c>
      <c r="Q33" s="9">
        <v>40530</v>
      </c>
      <c r="R33" s="20">
        <f>'Показатели преступности России'!D36</f>
        <v>72297</v>
      </c>
      <c r="T33" s="37">
        <f t="shared" si="0"/>
        <v>72297</v>
      </c>
      <c r="U33" s="36">
        <f t="shared" si="1"/>
        <v>40530</v>
      </c>
      <c r="V33" s="36">
        <f t="shared" si="2"/>
        <v>2930197410</v>
      </c>
      <c r="W33" s="46">
        <f t="shared" si="3"/>
        <v>1255193669.4076564</v>
      </c>
      <c r="X33" s="46">
        <f t="shared" si="4"/>
        <v>5226856209</v>
      </c>
      <c r="Y33" s="3">
        <f t="shared" si="5"/>
        <v>1642680900</v>
      </c>
      <c r="AR33" s="45">
        <f t="shared" si="6"/>
        <v>11.188537913510032</v>
      </c>
      <c r="AS33" s="46">
        <f t="shared" si="7"/>
        <v>10.609797719622355</v>
      </c>
      <c r="AT33" s="36">
        <f t="shared" si="8"/>
        <v>118.708124040667</v>
      </c>
      <c r="AU33" s="46">
        <f t="shared" si="9"/>
        <v>0.8917334784558969</v>
      </c>
      <c r="AV33" s="46">
        <f t="shared" si="10"/>
        <v>125.18338064205143</v>
      </c>
      <c r="AW33" s="3">
        <f t="shared" si="11"/>
        <v>112.56780765130372</v>
      </c>
    </row>
    <row r="34" spans="1:49" ht="15" thickBot="1" x14ac:dyDescent="0.35">
      <c r="A34" s="13">
        <v>32</v>
      </c>
      <c r="B34" s="21" t="s">
        <v>35</v>
      </c>
      <c r="C34" s="9">
        <v>852</v>
      </c>
      <c r="D34" s="3">
        <f>'Показатели преступности России'!U35*1000</f>
        <v>1530</v>
      </c>
      <c r="O34" s="13">
        <v>32</v>
      </c>
      <c r="P34" s="21" t="s">
        <v>37</v>
      </c>
      <c r="Q34" s="9">
        <v>10630</v>
      </c>
      <c r="R34" s="20">
        <f>'Показатели преступности России'!D37</f>
        <v>12191</v>
      </c>
      <c r="T34" s="37">
        <f t="shared" si="0"/>
        <v>12191</v>
      </c>
      <c r="U34" s="36">
        <f t="shared" si="1"/>
        <v>10630</v>
      </c>
      <c r="V34" s="36">
        <f t="shared" si="2"/>
        <v>129590330</v>
      </c>
      <c r="W34" s="46">
        <f t="shared" si="3"/>
        <v>608968518.35765612</v>
      </c>
      <c r="X34" s="46">
        <f t="shared" si="4"/>
        <v>148620481</v>
      </c>
      <c r="Y34" s="3">
        <f t="shared" si="5"/>
        <v>112996900</v>
      </c>
      <c r="AR34" s="45">
        <f t="shared" si="6"/>
        <v>9.4084532535651455</v>
      </c>
      <c r="AS34" s="46">
        <f t="shared" si="7"/>
        <v>9.2714354713359928</v>
      </c>
      <c r="AT34" s="36">
        <f t="shared" si="8"/>
        <v>87.229867225510418</v>
      </c>
      <c r="AU34" s="46">
        <f t="shared" si="9"/>
        <v>0.6985085709254909</v>
      </c>
      <c r="AV34" s="46">
        <f t="shared" si="10"/>
        <v>88.518992624520578</v>
      </c>
      <c r="AW34" s="3">
        <f t="shared" si="11"/>
        <v>85.959515699147261</v>
      </c>
    </row>
    <row r="35" spans="1:49" ht="15" thickBot="1" x14ac:dyDescent="0.35">
      <c r="A35" s="13">
        <v>33</v>
      </c>
      <c r="B35" s="21" t="s">
        <v>36</v>
      </c>
      <c r="C35" s="9">
        <v>40530</v>
      </c>
      <c r="D35" s="3">
        <f>'Показатели преступности России'!U36*1000</f>
        <v>72297</v>
      </c>
      <c r="O35" s="15">
        <v>33</v>
      </c>
      <c r="P35" s="21" t="s">
        <v>38</v>
      </c>
      <c r="Q35" s="9">
        <v>46463</v>
      </c>
      <c r="R35" s="20">
        <f>'Показатели преступности России'!D38</f>
        <v>87071</v>
      </c>
      <c r="T35" s="37">
        <f t="shared" si="0"/>
        <v>87071</v>
      </c>
      <c r="U35" s="36">
        <f t="shared" si="1"/>
        <v>46463</v>
      </c>
      <c r="V35" s="36">
        <f t="shared" si="2"/>
        <v>4045579873</v>
      </c>
      <c r="W35" s="46">
        <f t="shared" si="3"/>
        <v>2520312342.3576565</v>
      </c>
      <c r="X35" s="46">
        <f t="shared" si="4"/>
        <v>7581359041</v>
      </c>
      <c r="Y35" s="3">
        <f t="shared" si="5"/>
        <v>2158810369</v>
      </c>
      <c r="AR35" s="45">
        <f t="shared" si="6"/>
        <v>11.374479156768768</v>
      </c>
      <c r="AS35" s="46">
        <f t="shared" si="7"/>
        <v>10.746411575914298</v>
      </c>
      <c r="AT35" s="36">
        <f t="shared" si="8"/>
        <v>122.23483448029579</v>
      </c>
      <c r="AU35" s="46">
        <f t="shared" si="9"/>
        <v>1.2774823582742456</v>
      </c>
      <c r="AV35" s="46">
        <f t="shared" si="10"/>
        <v>129.37877608776714</v>
      </c>
      <c r="AW35" s="3">
        <f t="shared" si="11"/>
        <v>115.48536175894482</v>
      </c>
    </row>
    <row r="36" spans="1:49" ht="15" thickBot="1" x14ac:dyDescent="0.35">
      <c r="A36" s="13">
        <v>34</v>
      </c>
      <c r="B36" s="21" t="s">
        <v>37</v>
      </c>
      <c r="C36" s="9">
        <v>10630</v>
      </c>
      <c r="D36" s="3">
        <f>'Показатели преступности России'!U37*1000</f>
        <v>12191</v>
      </c>
      <c r="O36" s="13">
        <v>34</v>
      </c>
      <c r="P36" s="21" t="s">
        <v>39</v>
      </c>
      <c r="Q36" s="9">
        <v>23825</v>
      </c>
      <c r="R36" s="20">
        <f>'Показатели преступности России'!D39</f>
        <v>64125</v>
      </c>
      <c r="T36" s="37">
        <f t="shared" si="0"/>
        <v>64125</v>
      </c>
      <c r="U36" s="36">
        <f t="shared" si="1"/>
        <v>23825</v>
      </c>
      <c r="V36" s="36">
        <f t="shared" si="2"/>
        <v>1527778125</v>
      </c>
      <c r="W36" s="46">
        <f t="shared" si="3"/>
        <v>742928376.30765629</v>
      </c>
      <c r="X36" s="46">
        <f t="shared" si="4"/>
        <v>4112015625</v>
      </c>
      <c r="Y36" s="3">
        <f t="shared" si="5"/>
        <v>567630625</v>
      </c>
      <c r="AR36" s="45">
        <f t="shared" si="6"/>
        <v>11.06858958247307</v>
      </c>
      <c r="AS36" s="46">
        <f t="shared" si="7"/>
        <v>10.078490728522404</v>
      </c>
      <c r="AT36" s="36">
        <f t="shared" si="8"/>
        <v>111.5546774847745</v>
      </c>
      <c r="AU36" s="46">
        <f t="shared" si="9"/>
        <v>0.67958272634880057</v>
      </c>
      <c r="AV36" s="46">
        <f t="shared" si="10"/>
        <v>122.51367534523138</v>
      </c>
      <c r="AW36" s="3">
        <f t="shared" si="11"/>
        <v>101.57597536491205</v>
      </c>
    </row>
    <row r="37" spans="1:49" ht="15" thickBot="1" x14ac:dyDescent="0.35">
      <c r="A37" s="13">
        <v>35</v>
      </c>
      <c r="B37" s="21" t="s">
        <v>38</v>
      </c>
      <c r="C37" s="9">
        <v>46463</v>
      </c>
      <c r="D37" s="3">
        <f>'Показатели преступности России'!U38*1000</f>
        <v>87071</v>
      </c>
      <c r="O37" s="15">
        <v>35</v>
      </c>
      <c r="P37" s="21" t="s">
        <v>40</v>
      </c>
      <c r="Q37" s="9">
        <v>24989</v>
      </c>
      <c r="R37" s="20">
        <f>'Показатели преступности России'!D40</f>
        <v>43157</v>
      </c>
      <c r="T37" s="37">
        <f t="shared" si="0"/>
        <v>43157</v>
      </c>
      <c r="U37" s="36">
        <f t="shared" si="1"/>
        <v>24989</v>
      </c>
      <c r="V37" s="36">
        <f t="shared" si="2"/>
        <v>1078450273</v>
      </c>
      <c r="W37" s="46">
        <f t="shared" si="3"/>
        <v>39547904.907656267</v>
      </c>
      <c r="X37" s="46">
        <f t="shared" si="4"/>
        <v>1862526649</v>
      </c>
      <c r="Y37" s="3">
        <f t="shared" si="5"/>
        <v>624450121</v>
      </c>
      <c r="AR37" s="45">
        <f t="shared" si="6"/>
        <v>10.672599908151774</v>
      </c>
      <c r="AS37" s="46">
        <f t="shared" si="7"/>
        <v>10.126191007021934</v>
      </c>
      <c r="AT37" s="36">
        <f t="shared" si="8"/>
        <v>108.07278521146961</v>
      </c>
      <c r="AU37" s="46">
        <f t="shared" si="9"/>
        <v>0.1835080558670717</v>
      </c>
      <c r="AV37" s="46">
        <f t="shared" si="10"/>
        <v>113.90438879948125</v>
      </c>
      <c r="AW37" s="3">
        <f t="shared" si="11"/>
        <v>102.53974431069189</v>
      </c>
    </row>
    <row r="38" spans="1:49" ht="15" thickBot="1" x14ac:dyDescent="0.35">
      <c r="A38" s="13">
        <v>36</v>
      </c>
      <c r="B38" s="21" t="s">
        <v>39</v>
      </c>
      <c r="C38" s="9">
        <v>23825</v>
      </c>
      <c r="D38" s="3">
        <f>'Показатели преступности России'!U39*1000</f>
        <v>64125</v>
      </c>
      <c r="O38" s="13">
        <v>36</v>
      </c>
      <c r="P38" s="21" t="s">
        <v>41</v>
      </c>
      <c r="Q38" s="9">
        <v>8151</v>
      </c>
      <c r="R38" s="20">
        <f>'Показатели преступности России'!D41</f>
        <v>16337</v>
      </c>
      <c r="T38" s="37">
        <f t="shared" si="0"/>
        <v>16337</v>
      </c>
      <c r="U38" s="36">
        <f t="shared" si="1"/>
        <v>8151</v>
      </c>
      <c r="V38" s="36">
        <f t="shared" si="2"/>
        <v>133162887</v>
      </c>
      <c r="W38" s="46">
        <f t="shared" si="3"/>
        <v>421533766.40765619</v>
      </c>
      <c r="X38" s="46">
        <f t="shared" si="4"/>
        <v>266897569</v>
      </c>
      <c r="Y38" s="3">
        <f t="shared" si="5"/>
        <v>66438801</v>
      </c>
      <c r="AR38" s="45">
        <f t="shared" si="6"/>
        <v>9.7011877530265078</v>
      </c>
      <c r="AS38" s="46">
        <f t="shared" si="7"/>
        <v>9.0058958980944581</v>
      </c>
      <c r="AT38" s="36">
        <f t="shared" si="8"/>
        <v>87.367886991625625</v>
      </c>
      <c r="AU38" s="46">
        <f t="shared" si="9"/>
        <v>0.29488565631455776</v>
      </c>
      <c r="AV38" s="46">
        <f t="shared" si="10"/>
        <v>94.1130438194715</v>
      </c>
      <c r="AW38" s="3">
        <f t="shared" si="11"/>
        <v>81.10616092731459</v>
      </c>
    </row>
    <row r="39" spans="1:49" ht="15" thickBot="1" x14ac:dyDescent="0.35">
      <c r="A39" s="13">
        <v>37</v>
      </c>
      <c r="B39" s="21" t="s">
        <v>40</v>
      </c>
      <c r="C39" s="9">
        <v>24989</v>
      </c>
      <c r="D39" s="3">
        <f>'Показатели преступности России'!U40*1000</f>
        <v>43157</v>
      </c>
      <c r="O39" s="15">
        <v>37</v>
      </c>
      <c r="P39" s="21" t="s">
        <v>42</v>
      </c>
      <c r="Q39" s="9">
        <v>13470</v>
      </c>
      <c r="R39" s="20">
        <f>'Показатели преступности России'!D42</f>
        <v>27941</v>
      </c>
      <c r="T39" s="37">
        <f t="shared" si="0"/>
        <v>27941</v>
      </c>
      <c r="U39" s="36">
        <f t="shared" si="1"/>
        <v>13470</v>
      </c>
      <c r="V39" s="36">
        <f t="shared" si="2"/>
        <v>376365270</v>
      </c>
      <c r="W39" s="46">
        <f t="shared" si="3"/>
        <v>79696462.107656226</v>
      </c>
      <c r="X39" s="46">
        <f t="shared" si="4"/>
        <v>780699481</v>
      </c>
      <c r="Y39" s="3">
        <f t="shared" si="5"/>
        <v>181440900</v>
      </c>
      <c r="AR39" s="45">
        <f t="shared" si="6"/>
        <v>10.237850423151144</v>
      </c>
      <c r="AS39" s="46">
        <f t="shared" si="7"/>
        <v>9.5082202694044096</v>
      </c>
      <c r="AT39" s="36">
        <f t="shared" si="8"/>
        <v>97.343736908536215</v>
      </c>
      <c r="AU39" s="46">
        <f t="shared" si="9"/>
        <v>4.0590690168203786E-5</v>
      </c>
      <c r="AV39" s="46">
        <f t="shared" si="10"/>
        <v>104.81358128681606</v>
      </c>
      <c r="AW39" s="3">
        <f t="shared" si="11"/>
        <v>90.406252691512861</v>
      </c>
    </row>
    <row r="40" spans="1:49" ht="15" thickBot="1" x14ac:dyDescent="0.35">
      <c r="A40" s="13">
        <v>38</v>
      </c>
      <c r="B40" s="21" t="s">
        <v>41</v>
      </c>
      <c r="C40" s="9">
        <v>8151</v>
      </c>
      <c r="D40" s="3">
        <f>'Показатели преступности России'!U41*1000</f>
        <v>16337</v>
      </c>
      <c r="O40" s="13">
        <v>38</v>
      </c>
      <c r="P40" s="21" t="s">
        <v>43</v>
      </c>
      <c r="Q40" s="9">
        <v>40594</v>
      </c>
      <c r="R40" s="20">
        <f>'Показатели преступности России'!D43</f>
        <v>56349</v>
      </c>
      <c r="T40" s="37">
        <f t="shared" si="0"/>
        <v>56349</v>
      </c>
      <c r="U40" s="36">
        <f t="shared" si="1"/>
        <v>40594</v>
      </c>
      <c r="V40" s="36">
        <f t="shared" si="2"/>
        <v>2287431306</v>
      </c>
      <c r="W40" s="46">
        <f t="shared" si="3"/>
        <v>379498159.50765634</v>
      </c>
      <c r="X40" s="46">
        <f t="shared" si="4"/>
        <v>3175209801</v>
      </c>
      <c r="Y40" s="3">
        <f t="shared" si="5"/>
        <v>1647872836</v>
      </c>
      <c r="AR40" s="45">
        <f t="shared" si="6"/>
        <v>10.939319773081531</v>
      </c>
      <c r="AS40" s="46">
        <f t="shared" si="7"/>
        <v>10.611375551417572</v>
      </c>
      <c r="AT40" s="36">
        <f t="shared" si="8"/>
        <v>116.08123038921617</v>
      </c>
      <c r="AU40" s="46">
        <f t="shared" si="9"/>
        <v>0.48316160160877719</v>
      </c>
      <c r="AV40" s="46">
        <f t="shared" si="10"/>
        <v>119.66871709773255</v>
      </c>
      <c r="AW40" s="3">
        <f t="shared" si="11"/>
        <v>112.60129109322257</v>
      </c>
    </row>
    <row r="41" spans="1:49" ht="15" thickBot="1" x14ac:dyDescent="0.35">
      <c r="A41" s="13">
        <v>39</v>
      </c>
      <c r="B41" s="21" t="s">
        <v>42</v>
      </c>
      <c r="C41" s="9">
        <v>13470</v>
      </c>
      <c r="D41" s="3">
        <f>'Показатели преступности России'!U42*1000</f>
        <v>27941</v>
      </c>
      <c r="O41" s="15">
        <v>39</v>
      </c>
      <c r="P41" s="21" t="s">
        <v>44</v>
      </c>
      <c r="Q41" s="9">
        <v>35098</v>
      </c>
      <c r="R41" s="20">
        <f>'Показатели преступности России'!D44</f>
        <v>40813</v>
      </c>
      <c r="T41" s="37">
        <f t="shared" si="0"/>
        <v>40813</v>
      </c>
      <c r="U41" s="36">
        <f t="shared" si="1"/>
        <v>35098</v>
      </c>
      <c r="V41" s="36">
        <f t="shared" si="2"/>
        <v>1432454674</v>
      </c>
      <c r="W41" s="46">
        <f t="shared" si="3"/>
        <v>15560756.707656261</v>
      </c>
      <c r="X41" s="46">
        <f t="shared" si="4"/>
        <v>1665700969</v>
      </c>
      <c r="Y41" s="3">
        <f t="shared" si="5"/>
        <v>1231869604</v>
      </c>
      <c r="AR41" s="45">
        <f t="shared" si="6"/>
        <v>10.616755937092288</v>
      </c>
      <c r="AS41" s="46">
        <f t="shared" si="7"/>
        <v>10.465899427773552</v>
      </c>
      <c r="AT41" s="36">
        <f t="shared" si="8"/>
        <v>111.11389988682564</v>
      </c>
      <c r="AU41" s="46">
        <f t="shared" si="9"/>
        <v>0.13878190272925572</v>
      </c>
      <c r="AV41" s="46">
        <f t="shared" si="10"/>
        <v>112.71550662778434</v>
      </c>
      <c r="AW41" s="3">
        <f t="shared" si="11"/>
        <v>109.53505083227077</v>
      </c>
    </row>
    <row r="42" spans="1:49" ht="15" thickBot="1" x14ac:dyDescent="0.35">
      <c r="A42" s="13">
        <v>40</v>
      </c>
      <c r="B42" s="21" t="s">
        <v>43</v>
      </c>
      <c r="C42" s="9">
        <v>40594</v>
      </c>
      <c r="D42" s="3">
        <f>'Показатели преступности России'!U43*1000</f>
        <v>56349</v>
      </c>
      <c r="O42" s="13">
        <v>40</v>
      </c>
      <c r="P42" s="21" t="s">
        <v>45</v>
      </c>
      <c r="Q42" s="9">
        <v>8377</v>
      </c>
      <c r="R42" s="20">
        <f>'Показатели преступности России'!D45</f>
        <v>14674</v>
      </c>
      <c r="T42" s="37">
        <f t="shared" si="0"/>
        <v>14674</v>
      </c>
      <c r="U42" s="36">
        <f t="shared" si="1"/>
        <v>8377</v>
      </c>
      <c r="V42" s="36">
        <f t="shared" si="2"/>
        <v>122924098</v>
      </c>
      <c r="W42" s="46">
        <f t="shared" si="3"/>
        <v>492586397.63265616</v>
      </c>
      <c r="X42" s="46">
        <f t="shared" si="4"/>
        <v>215326276</v>
      </c>
      <c r="Y42" s="3">
        <f t="shared" si="5"/>
        <v>70174129</v>
      </c>
      <c r="AR42" s="45">
        <f t="shared" si="6"/>
        <v>9.5938324992739403</v>
      </c>
      <c r="AS42" s="46">
        <f t="shared" si="7"/>
        <v>9.0332451341538089</v>
      </c>
      <c r="AT42" s="36">
        <f t="shared" si="8"/>
        <v>86.663440741952996</v>
      </c>
      <c r="AU42" s="46">
        <f t="shared" si="9"/>
        <v>0.42300585940668556</v>
      </c>
      <c r="AV42" s="46">
        <f t="shared" si="10"/>
        <v>92.041622024124862</v>
      </c>
      <c r="AW42" s="3">
        <f t="shared" si="11"/>
        <v>81.599517653713463</v>
      </c>
    </row>
    <row r="43" spans="1:49" ht="15" thickBot="1" x14ac:dyDescent="0.35">
      <c r="A43" s="13">
        <v>41</v>
      </c>
      <c r="B43" s="21" t="s">
        <v>44</v>
      </c>
      <c r="C43" s="9">
        <v>35098</v>
      </c>
      <c r="D43" s="3">
        <f>'Показатели преступности России'!U44*1000</f>
        <v>40813</v>
      </c>
      <c r="O43" s="15">
        <v>41</v>
      </c>
      <c r="P43" s="21" t="s">
        <v>46</v>
      </c>
      <c r="Q43" s="9">
        <v>4496</v>
      </c>
      <c r="R43" s="20">
        <f>'Показатели преступности России'!D46</f>
        <v>17811</v>
      </c>
      <c r="T43" s="37">
        <f t="shared" si="0"/>
        <v>17811</v>
      </c>
      <c r="U43" s="36">
        <f t="shared" si="1"/>
        <v>4496</v>
      </c>
      <c r="V43" s="36">
        <f t="shared" si="2"/>
        <v>80078256</v>
      </c>
      <c r="W43" s="46">
        <f t="shared" si="3"/>
        <v>363180206.85765618</v>
      </c>
      <c r="X43" s="46">
        <f t="shared" si="4"/>
        <v>317231721</v>
      </c>
      <c r="Y43" s="3">
        <f t="shared" si="5"/>
        <v>20214016</v>
      </c>
      <c r="AR43" s="45">
        <f t="shared" si="6"/>
        <v>9.7875715229387854</v>
      </c>
      <c r="AS43" s="46">
        <f t="shared" si="7"/>
        <v>8.410943391573527</v>
      </c>
      <c r="AT43" s="36">
        <f t="shared" si="8"/>
        <v>82.322710020415215</v>
      </c>
      <c r="AU43" s="46">
        <f t="shared" si="9"/>
        <v>0.20852920656400481</v>
      </c>
      <c r="AV43" s="46">
        <f t="shared" si="10"/>
        <v>95.796556316642253</v>
      </c>
      <c r="AW43" s="3">
        <f t="shared" si="11"/>
        <v>70.743968736254388</v>
      </c>
    </row>
    <row r="44" spans="1:49" ht="15" thickBot="1" x14ac:dyDescent="0.35">
      <c r="A44" s="13">
        <v>42</v>
      </c>
      <c r="B44" s="21" t="s">
        <v>45</v>
      </c>
      <c r="C44" s="9">
        <v>8377</v>
      </c>
      <c r="D44" s="3">
        <f>'Показатели преступности России'!U45*1000</f>
        <v>14674</v>
      </c>
      <c r="O44" s="13">
        <v>42</v>
      </c>
      <c r="P44" s="21" t="s">
        <v>47</v>
      </c>
      <c r="Q44" s="9">
        <v>4762</v>
      </c>
      <c r="R44" s="20">
        <f>'Показатели преступности России'!D47</f>
        <v>11285</v>
      </c>
      <c r="T44" s="37">
        <f t="shared" si="0"/>
        <v>11285</v>
      </c>
      <c r="U44" s="36">
        <f t="shared" si="1"/>
        <v>4762</v>
      </c>
      <c r="V44" s="36">
        <f t="shared" si="2"/>
        <v>53739170</v>
      </c>
      <c r="W44" s="46">
        <f t="shared" si="3"/>
        <v>654504599.30765617</v>
      </c>
      <c r="X44" s="46">
        <f t="shared" si="4"/>
        <v>127351225</v>
      </c>
      <c r="Y44" s="3">
        <f t="shared" si="5"/>
        <v>22676644</v>
      </c>
      <c r="AR44" s="45">
        <f t="shared" si="6"/>
        <v>9.3312296892516358</v>
      </c>
      <c r="AS44" s="46">
        <f t="shared" si="7"/>
        <v>8.4684230270468088</v>
      </c>
      <c r="AT44" s="36">
        <f t="shared" si="8"/>
        <v>79.020800371121396</v>
      </c>
      <c r="AU44" s="46">
        <f t="shared" si="9"/>
        <v>0.83355405651818748</v>
      </c>
      <c r="AV44" s="46">
        <f t="shared" si="10"/>
        <v>87.071847513571186</v>
      </c>
      <c r="AW44" s="3">
        <f t="shared" si="11"/>
        <v>71.714188565016642</v>
      </c>
    </row>
    <row r="45" spans="1:49" ht="15" thickBot="1" x14ac:dyDescent="0.35">
      <c r="A45" s="13">
        <v>43</v>
      </c>
      <c r="B45" s="21" t="s">
        <v>46</v>
      </c>
      <c r="C45" s="9">
        <v>4496</v>
      </c>
      <c r="D45" s="3">
        <f>'Показатели преступности России'!U46*1000</f>
        <v>17811</v>
      </c>
      <c r="O45" s="15">
        <v>43</v>
      </c>
      <c r="P45" s="21" t="s">
        <v>48</v>
      </c>
      <c r="Q45" s="9">
        <v>52437</v>
      </c>
      <c r="R45" s="20">
        <f>'Показатели преступности России'!D48</f>
        <v>85287</v>
      </c>
      <c r="T45" s="37">
        <f t="shared" si="0"/>
        <v>85287</v>
      </c>
      <c r="U45" s="36">
        <f t="shared" si="1"/>
        <v>52437</v>
      </c>
      <c r="V45" s="36">
        <f t="shared" si="2"/>
        <v>4472194419</v>
      </c>
      <c r="W45" s="46">
        <f t="shared" si="3"/>
        <v>2344371720.1576562</v>
      </c>
      <c r="X45" s="46">
        <f t="shared" si="4"/>
        <v>7273872369</v>
      </c>
      <c r="Y45" s="3">
        <f t="shared" si="5"/>
        <v>2749638969</v>
      </c>
      <c r="AR45" s="45">
        <f t="shared" si="6"/>
        <v>11.353777318582678</v>
      </c>
      <c r="AS45" s="46">
        <f t="shared" si="7"/>
        <v>10.867367728003197</v>
      </c>
      <c r="AT45" s="36">
        <f t="shared" si="8"/>
        <v>123.38567322290007</v>
      </c>
      <c r="AU45" s="46">
        <f t="shared" si="9"/>
        <v>1.2311141023678009</v>
      </c>
      <c r="AV45" s="46">
        <f t="shared" si="10"/>
        <v>128.90825939996245</v>
      </c>
      <c r="AW45" s="3">
        <f t="shared" si="11"/>
        <v>118.09968133564537</v>
      </c>
    </row>
    <row r="46" spans="1:49" ht="15" thickBot="1" x14ac:dyDescent="0.35">
      <c r="A46" s="13">
        <v>44</v>
      </c>
      <c r="B46" s="21" t="s">
        <v>47</v>
      </c>
      <c r="C46" s="9">
        <v>4762</v>
      </c>
      <c r="D46" s="3">
        <f>'Показатели преступности России'!U47*1000</f>
        <v>11285</v>
      </c>
      <c r="O46" s="13">
        <v>44</v>
      </c>
      <c r="P46" s="21" t="s">
        <v>49</v>
      </c>
      <c r="Q46" s="9">
        <v>20770</v>
      </c>
      <c r="R46" s="20">
        <f>'Показатели преступности России'!D49</f>
        <v>41180</v>
      </c>
      <c r="T46" s="37">
        <f t="shared" si="0"/>
        <v>41180</v>
      </c>
      <c r="U46" s="36">
        <f t="shared" si="1"/>
        <v>20770</v>
      </c>
      <c r="V46" s="36">
        <f t="shared" si="2"/>
        <v>855308600</v>
      </c>
      <c r="W46" s="46">
        <f t="shared" si="3"/>
        <v>18590864.682656262</v>
      </c>
      <c r="X46" s="46">
        <f t="shared" si="4"/>
        <v>1695792400</v>
      </c>
      <c r="Y46" s="3">
        <f t="shared" si="5"/>
        <v>431392900</v>
      </c>
      <c r="AR46" s="45">
        <f t="shared" si="6"/>
        <v>10.62570798058178</v>
      </c>
      <c r="AS46" s="46">
        <f t="shared" si="7"/>
        <v>9.9412649168701588</v>
      </c>
      <c r="AT46" s="36">
        <f t="shared" si="8"/>
        <v>105.63297796426491</v>
      </c>
      <c r="AU46" s="46">
        <f t="shared" si="9"/>
        <v>0.14553193067796746</v>
      </c>
      <c r="AV46" s="46">
        <f t="shared" si="10"/>
        <v>112.90567008859932</v>
      </c>
      <c r="AW46" s="3">
        <f t="shared" si="11"/>
        <v>98.828748147393441</v>
      </c>
    </row>
    <row r="47" spans="1:49" ht="15" thickBot="1" x14ac:dyDescent="0.35">
      <c r="A47" s="13">
        <v>45</v>
      </c>
      <c r="B47" s="21" t="s">
        <v>48</v>
      </c>
      <c r="C47" s="9">
        <v>52437</v>
      </c>
      <c r="D47" s="3">
        <f>'Показатели преступности России'!U48*1000</f>
        <v>85287</v>
      </c>
      <c r="O47" s="15">
        <v>45</v>
      </c>
      <c r="P47" s="21" t="s">
        <v>51</v>
      </c>
      <c r="Q47" s="9">
        <v>2103</v>
      </c>
      <c r="R47" s="20">
        <f>'Показатели преступности России'!D51</f>
        <v>83696</v>
      </c>
      <c r="T47" s="37">
        <f t="shared" si="0"/>
        <v>83696</v>
      </c>
      <c r="U47" s="36">
        <f t="shared" si="1"/>
        <v>2103</v>
      </c>
      <c r="V47" s="36">
        <f t="shared" si="2"/>
        <v>176012688</v>
      </c>
      <c r="W47" s="46">
        <f t="shared" si="3"/>
        <v>2192834657.9826565</v>
      </c>
      <c r="X47" s="46">
        <f t="shared" si="4"/>
        <v>7005020416</v>
      </c>
      <c r="Y47" s="3">
        <f t="shared" si="5"/>
        <v>4422609</v>
      </c>
      <c r="AR47" s="45">
        <f t="shared" si="6"/>
        <v>11.334946465610392</v>
      </c>
      <c r="AS47" s="46">
        <f t="shared" si="7"/>
        <v>7.6511201757027001</v>
      </c>
      <c r="AT47" s="36">
        <f t="shared" si="8"/>
        <v>86.725037593541671</v>
      </c>
      <c r="AU47" s="46">
        <f t="shared" si="9"/>
        <v>1.1896809386296769</v>
      </c>
      <c r="AV47" s="46">
        <f t="shared" si="10"/>
        <v>128.4810113782535</v>
      </c>
      <c r="AW47" s="3">
        <f t="shared" si="11"/>
        <v>58.539639943044918</v>
      </c>
    </row>
    <row r="48" spans="1:49" ht="15" thickBot="1" x14ac:dyDescent="0.35">
      <c r="A48" s="13">
        <v>46</v>
      </c>
      <c r="B48" s="21" t="s">
        <v>49</v>
      </c>
      <c r="C48" s="9">
        <v>20770</v>
      </c>
      <c r="D48" s="3">
        <f>'Показатели преступности России'!U49*1000</f>
        <v>41180</v>
      </c>
      <c r="O48" s="13">
        <v>46</v>
      </c>
      <c r="P48" s="21" t="s">
        <v>52</v>
      </c>
      <c r="Q48" s="9">
        <v>2940</v>
      </c>
      <c r="R48" s="20">
        <f>'Показатели преступности России'!D52</f>
        <v>12011</v>
      </c>
      <c r="T48" s="37">
        <f t="shared" si="0"/>
        <v>12011</v>
      </c>
      <c r="U48" s="36">
        <f t="shared" si="1"/>
        <v>2940</v>
      </c>
      <c r="V48" s="36">
        <f t="shared" si="2"/>
        <v>35312340</v>
      </c>
      <c r="W48" s="46">
        <f t="shared" si="3"/>
        <v>617884741.85765612</v>
      </c>
      <c r="X48" s="46">
        <f t="shared" si="4"/>
        <v>144264121</v>
      </c>
      <c r="Y48" s="3">
        <f t="shared" si="5"/>
        <v>8643600</v>
      </c>
      <c r="AR48" s="45">
        <f t="shared" si="6"/>
        <v>9.3935781755544898</v>
      </c>
      <c r="AS48" s="46">
        <f t="shared" si="7"/>
        <v>7.9861648603327273</v>
      </c>
      <c r="AT48" s="36">
        <f t="shared" si="8"/>
        <v>75.018663938401673</v>
      </c>
      <c r="AU48" s="46">
        <f t="shared" si="9"/>
        <v>0.72359407476373638</v>
      </c>
      <c r="AV48" s="46">
        <f t="shared" si="10"/>
        <v>88.239310940253617</v>
      </c>
      <c r="AW48" s="3">
        <f t="shared" si="11"/>
        <v>63.778829176413247</v>
      </c>
    </row>
    <row r="49" spans="1:49" ht="15" thickBot="1" x14ac:dyDescent="0.35">
      <c r="A49" s="13">
        <v>47</v>
      </c>
      <c r="B49" s="30" t="s">
        <v>50</v>
      </c>
      <c r="C49" s="9">
        <v>14852</v>
      </c>
      <c r="D49" s="28">
        <f>'Показатели преступности России'!U50*1000</f>
        <v>209777</v>
      </c>
      <c r="O49" s="15">
        <v>47</v>
      </c>
      <c r="P49" s="21" t="s">
        <v>53</v>
      </c>
      <c r="Q49" s="9">
        <v>13670</v>
      </c>
      <c r="R49" s="20">
        <f>'Показатели преступности России'!D53</f>
        <v>17652</v>
      </c>
      <c r="T49" s="37">
        <f t="shared" si="0"/>
        <v>17652</v>
      </c>
      <c r="U49" s="36">
        <f t="shared" si="1"/>
        <v>13670</v>
      </c>
      <c r="V49" s="36">
        <f t="shared" si="2"/>
        <v>241302840</v>
      </c>
      <c r="W49" s="46">
        <f t="shared" si="3"/>
        <v>369265705.28265619</v>
      </c>
      <c r="X49" s="46">
        <f t="shared" si="4"/>
        <v>311593104</v>
      </c>
      <c r="Y49" s="3">
        <f t="shared" si="5"/>
        <v>186868900</v>
      </c>
      <c r="AR49" s="45">
        <f t="shared" si="6"/>
        <v>9.7786043703894379</v>
      </c>
      <c r="AS49" s="46">
        <f t="shared" si="7"/>
        <v>9.522958929717996</v>
      </c>
      <c r="AT49" s="36">
        <f t="shared" si="8"/>
        <v>93.121247809179522</v>
      </c>
      <c r="AU49" s="46">
        <f t="shared" si="9"/>
        <v>0.21679931649923498</v>
      </c>
      <c r="AV49" s="46">
        <f t="shared" si="10"/>
        <v>95.621103432599412</v>
      </c>
      <c r="AW49" s="3">
        <f t="shared" si="11"/>
        <v>90.686746777095721</v>
      </c>
    </row>
    <row r="50" spans="1:49" ht="15" thickBot="1" x14ac:dyDescent="0.35">
      <c r="A50" s="13">
        <v>48</v>
      </c>
      <c r="B50" s="21" t="s">
        <v>51</v>
      </c>
      <c r="C50" s="9">
        <v>2103</v>
      </c>
      <c r="D50" s="3">
        <f>'Показатели преступности России'!U51*1000</f>
        <v>83696</v>
      </c>
      <c r="O50" s="13">
        <v>48</v>
      </c>
      <c r="P50" s="21" t="s">
        <v>54</v>
      </c>
      <c r="Q50" s="9">
        <v>15026</v>
      </c>
      <c r="R50" s="20">
        <f>'Показатели преступности России'!D54</f>
        <v>26879</v>
      </c>
      <c r="T50" s="37">
        <f t="shared" si="0"/>
        <v>26879</v>
      </c>
      <c r="U50" s="36">
        <f t="shared" si="1"/>
        <v>15026</v>
      </c>
      <c r="V50" s="36">
        <f t="shared" si="2"/>
        <v>403883854</v>
      </c>
      <c r="W50" s="46">
        <f t="shared" si="3"/>
        <v>99785864.757656217</v>
      </c>
      <c r="X50" s="46">
        <f t="shared" si="4"/>
        <v>722480641</v>
      </c>
      <c r="Y50" s="3">
        <f t="shared" si="5"/>
        <v>225780676</v>
      </c>
      <c r="AR50" s="45">
        <f t="shared" si="6"/>
        <v>10.199100591564108</v>
      </c>
      <c r="AS50" s="46">
        <f t="shared" si="7"/>
        <v>9.6175373129291053</v>
      </c>
      <c r="AT50" s="36">
        <f t="shared" si="8"/>
        <v>98.090230497685113</v>
      </c>
      <c r="AU50" s="46">
        <f t="shared" si="9"/>
        <v>2.0358968735058425E-3</v>
      </c>
      <c r="AV50" s="46">
        <f t="shared" si="10"/>
        <v>104.02165287684333</v>
      </c>
      <c r="AW50" s="3">
        <f t="shared" si="11"/>
        <v>92.497023965583594</v>
      </c>
    </row>
    <row r="51" spans="1:49" ht="15" thickBot="1" x14ac:dyDescent="0.35">
      <c r="A51" s="13">
        <v>49</v>
      </c>
      <c r="B51" s="21" t="s">
        <v>52</v>
      </c>
      <c r="C51" s="9">
        <v>2940</v>
      </c>
      <c r="D51" s="3">
        <f>'Показатели преступности России'!U52*1000</f>
        <v>12011</v>
      </c>
      <c r="O51" s="15">
        <v>49</v>
      </c>
      <c r="P51" s="21" t="s">
        <v>55</v>
      </c>
      <c r="Q51" s="9">
        <v>20727</v>
      </c>
      <c r="R51" s="20">
        <f>'Показатели преступности России'!D55</f>
        <v>54241</v>
      </c>
      <c r="T51" s="37">
        <f t="shared" si="0"/>
        <v>54241</v>
      </c>
      <c r="U51" s="36">
        <f t="shared" si="1"/>
        <v>20727</v>
      </c>
      <c r="V51" s="36">
        <f t="shared" si="2"/>
        <v>1124253207</v>
      </c>
      <c r="W51" s="46">
        <f t="shared" si="3"/>
        <v>301811139.6076563</v>
      </c>
      <c r="X51" s="46">
        <f t="shared" si="4"/>
        <v>2942086081</v>
      </c>
      <c r="Y51" s="3">
        <f t="shared" si="5"/>
        <v>429608529</v>
      </c>
      <c r="AR51" s="45">
        <f t="shared" si="6"/>
        <v>10.901192359022497</v>
      </c>
      <c r="AS51" s="46">
        <f t="shared" si="7"/>
        <v>9.9391924771569045</v>
      </c>
      <c r="AT51" s="36">
        <f t="shared" si="8"/>
        <v>108.34904908683673</v>
      </c>
      <c r="AU51" s="46">
        <f t="shared" si="9"/>
        <v>0.43161070239124616</v>
      </c>
      <c r="AV51" s="46">
        <f t="shared" si="10"/>
        <v>118.83599484841048</v>
      </c>
      <c r="AW51" s="3">
        <f t="shared" si="11"/>
        <v>98.787547097972407</v>
      </c>
    </row>
    <row r="52" spans="1:49" ht="15" thickBot="1" x14ac:dyDescent="0.35">
      <c r="A52" s="13">
        <v>50</v>
      </c>
      <c r="B52" s="21" t="s">
        <v>53</v>
      </c>
      <c r="C52" s="9">
        <v>13670</v>
      </c>
      <c r="D52" s="3">
        <f>'Показатели преступности России'!U53*1000</f>
        <v>17652</v>
      </c>
      <c r="O52" s="13">
        <v>50</v>
      </c>
      <c r="P52" s="21" t="s">
        <v>56</v>
      </c>
      <c r="Q52" s="9">
        <v>7656</v>
      </c>
      <c r="R52" s="20">
        <f>'Показатели преступности России'!D56</f>
        <v>17920</v>
      </c>
      <c r="T52" s="37">
        <f t="shared" si="0"/>
        <v>17920</v>
      </c>
      <c r="U52" s="36">
        <f t="shared" si="1"/>
        <v>7656</v>
      </c>
      <c r="V52" s="36">
        <f t="shared" si="2"/>
        <v>137195520</v>
      </c>
      <c r="W52" s="46">
        <f t="shared" si="3"/>
        <v>359037599.18265617</v>
      </c>
      <c r="X52" s="46">
        <f t="shared" si="4"/>
        <v>321126400</v>
      </c>
      <c r="Y52" s="3">
        <f t="shared" si="5"/>
        <v>58614336</v>
      </c>
      <c r="AR52" s="45">
        <f t="shared" si="6"/>
        <v>9.7936726865289216</v>
      </c>
      <c r="AS52" s="46">
        <f t="shared" si="7"/>
        <v>8.9432449331327906</v>
      </c>
      <c r="AT52" s="36">
        <f t="shared" si="8"/>
        <v>87.587213630560782</v>
      </c>
      <c r="AU52" s="46">
        <f t="shared" si="9"/>
        <v>0.20299423826720303</v>
      </c>
      <c r="AV52" s="46">
        <f t="shared" si="10"/>
        <v>95.916024690862628</v>
      </c>
      <c r="AW52" s="3">
        <f t="shared" si="11"/>
        <v>79.981629934005326</v>
      </c>
    </row>
    <row r="53" spans="1:49" ht="15" thickBot="1" x14ac:dyDescent="0.35">
      <c r="A53" s="13">
        <v>51</v>
      </c>
      <c r="B53" s="21" t="s">
        <v>54</v>
      </c>
      <c r="C53" s="9">
        <v>15026</v>
      </c>
      <c r="D53" s="3">
        <f>'Показатели преступности России'!U54*1000</f>
        <v>26879</v>
      </c>
      <c r="O53" s="15">
        <v>51</v>
      </c>
      <c r="P53" s="21" t="s">
        <v>57</v>
      </c>
      <c r="Q53" s="9">
        <v>8533</v>
      </c>
      <c r="R53" s="20">
        <f>'Показатели преступности России'!D57</f>
        <v>17734</v>
      </c>
      <c r="T53" s="37">
        <f t="shared" si="0"/>
        <v>17734</v>
      </c>
      <c r="U53" s="36">
        <f t="shared" si="1"/>
        <v>8533</v>
      </c>
      <c r="V53" s="36">
        <f t="shared" si="2"/>
        <v>151324222</v>
      </c>
      <c r="W53" s="46">
        <f t="shared" si="3"/>
        <v>366120958.13265622</v>
      </c>
      <c r="X53" s="46">
        <f t="shared" si="4"/>
        <v>314494756</v>
      </c>
      <c r="Y53" s="3">
        <f t="shared" si="5"/>
        <v>72812089</v>
      </c>
      <c r="AR53" s="45">
        <f t="shared" si="6"/>
        <v>9.7832389799399522</v>
      </c>
      <c r="AS53" s="46">
        <f t="shared" si="7"/>
        <v>9.0516962785365855</v>
      </c>
      <c r="AT53" s="36">
        <f t="shared" si="8"/>
        <v>88.554907866756523</v>
      </c>
      <c r="AU53" s="46">
        <f t="shared" si="9"/>
        <v>0.21250488886248053</v>
      </c>
      <c r="AV53" s="46">
        <f t="shared" si="10"/>
        <v>95.711764938616511</v>
      </c>
      <c r="AW53" s="3">
        <f t="shared" si="11"/>
        <v>81.933205518873066</v>
      </c>
    </row>
    <row r="54" spans="1:49" ht="15" thickBot="1" x14ac:dyDescent="0.35">
      <c r="A54" s="13">
        <v>52</v>
      </c>
      <c r="B54" s="21" t="s">
        <v>55</v>
      </c>
      <c r="C54" s="9">
        <v>20727</v>
      </c>
      <c r="D54" s="3">
        <f>'Показатели преступности России'!U55*1000</f>
        <v>54241</v>
      </c>
      <c r="O54" s="13">
        <v>52</v>
      </c>
      <c r="P54" s="21" t="s">
        <v>58</v>
      </c>
      <c r="Q54" s="9">
        <v>13005</v>
      </c>
      <c r="R54" s="20">
        <f>'Показатели преступности России'!D58</f>
        <v>34931</v>
      </c>
      <c r="T54" s="37">
        <f t="shared" si="0"/>
        <v>34931</v>
      </c>
      <c r="U54" s="36">
        <f t="shared" si="1"/>
        <v>13005</v>
      </c>
      <c r="V54" s="36">
        <f t="shared" si="2"/>
        <v>454277655</v>
      </c>
      <c r="W54" s="46">
        <f t="shared" si="3"/>
        <v>3753082.8576562442</v>
      </c>
      <c r="X54" s="46">
        <f t="shared" si="4"/>
        <v>1220174761</v>
      </c>
      <c r="Y54" s="3">
        <f t="shared" si="5"/>
        <v>169130025</v>
      </c>
      <c r="AR54" s="45">
        <f t="shared" si="6"/>
        <v>10.461129966077028</v>
      </c>
      <c r="AS54" s="46">
        <f t="shared" si="7"/>
        <v>9.473089177882752</v>
      </c>
      <c r="AT54" s="36">
        <f t="shared" si="8"/>
        <v>99.099217070069258</v>
      </c>
      <c r="AU54" s="46">
        <f t="shared" si="9"/>
        <v>4.7049280274243599E-2</v>
      </c>
      <c r="AV54" s="46">
        <f t="shared" si="10"/>
        <v>109.43524016715476</v>
      </c>
      <c r="AW54" s="3">
        <f t="shared" si="11"/>
        <v>89.73941857211932</v>
      </c>
    </row>
    <row r="55" spans="1:49" ht="15" thickBot="1" x14ac:dyDescent="0.35">
      <c r="A55" s="13">
        <v>53</v>
      </c>
      <c r="B55" s="21" t="s">
        <v>56</v>
      </c>
      <c r="C55" s="9">
        <v>7656</v>
      </c>
      <c r="D55" s="3">
        <f>'Показатели преступности России'!U56*1000</f>
        <v>17920</v>
      </c>
      <c r="O55" s="15">
        <v>53</v>
      </c>
      <c r="P55" s="21" t="s">
        <v>59</v>
      </c>
      <c r="Q55" s="9">
        <v>8152</v>
      </c>
      <c r="R55" s="20">
        <f>'Показатели преступности России'!D59</f>
        <v>42723</v>
      </c>
      <c r="T55" s="37">
        <f t="shared" si="0"/>
        <v>42723</v>
      </c>
      <c r="U55" s="36">
        <f t="shared" si="1"/>
        <v>8152</v>
      </c>
      <c r="V55" s="36">
        <f t="shared" si="2"/>
        <v>348277896</v>
      </c>
      <c r="W55" s="46">
        <f t="shared" si="3"/>
        <v>34277658.457656264</v>
      </c>
      <c r="X55" s="46">
        <f t="shared" si="4"/>
        <v>1825254729</v>
      </c>
      <c r="Y55" s="3">
        <f t="shared" si="5"/>
        <v>66455104</v>
      </c>
      <c r="AR55" s="45">
        <f t="shared" si="6"/>
        <v>10.662492695887538</v>
      </c>
      <c r="AS55" s="46">
        <f t="shared" si="7"/>
        <v>9.0060185749025603</v>
      </c>
      <c r="AT55" s="36">
        <f t="shared" si="8"/>
        <v>96.026607273926047</v>
      </c>
      <c r="AU55" s="46">
        <f t="shared" si="9"/>
        <v>0.1749507887165917</v>
      </c>
      <c r="AV55" s="46">
        <f t="shared" si="10"/>
        <v>113.6887504898551</v>
      </c>
      <c r="AW55" s="3">
        <f t="shared" si="11"/>
        <v>81.108370571489942</v>
      </c>
    </row>
    <row r="56" spans="1:49" ht="15" thickBot="1" x14ac:dyDescent="0.35">
      <c r="A56" s="13">
        <v>54</v>
      </c>
      <c r="B56" s="21" t="s">
        <v>57</v>
      </c>
      <c r="C56" s="9">
        <v>8533</v>
      </c>
      <c r="D56" s="3">
        <f>'Показатели преступности России'!U57*1000</f>
        <v>17734</v>
      </c>
      <c r="O56" s="13">
        <v>54</v>
      </c>
      <c r="P56" s="21" t="s">
        <v>60</v>
      </c>
      <c r="Q56" s="9">
        <v>51933</v>
      </c>
      <c r="R56" s="20">
        <f>'Показатели преступности России'!D60</f>
        <v>55909</v>
      </c>
      <c r="T56" s="37">
        <f t="shared" si="0"/>
        <v>55909</v>
      </c>
      <c r="U56" s="36">
        <f t="shared" si="1"/>
        <v>51933</v>
      </c>
      <c r="V56" s="36">
        <f t="shared" si="2"/>
        <v>2903522097</v>
      </c>
      <c r="W56" s="46">
        <f t="shared" si="3"/>
        <v>362548732.50765628</v>
      </c>
      <c r="X56" s="46">
        <f t="shared" si="4"/>
        <v>3125816281</v>
      </c>
      <c r="Y56" s="3">
        <f t="shared" si="5"/>
        <v>2697036489</v>
      </c>
      <c r="AR56" s="45">
        <f t="shared" si="6"/>
        <v>10.931480647972702</v>
      </c>
      <c r="AS56" s="46">
        <f t="shared" si="7"/>
        <v>10.857709705244838</v>
      </c>
      <c r="AT56" s="36">
        <f t="shared" si="8"/>
        <v>118.69084352418933</v>
      </c>
      <c r="AU56" s="46">
        <f t="shared" si="9"/>
        <v>0.47232512892608841</v>
      </c>
      <c r="AV56" s="46">
        <f t="shared" si="10"/>
        <v>119.49726915700168</v>
      </c>
      <c r="AW56" s="3">
        <f t="shared" si="11"/>
        <v>117.88986004336796</v>
      </c>
    </row>
    <row r="57" spans="1:49" ht="15" thickBot="1" x14ac:dyDescent="0.35">
      <c r="A57" s="13">
        <v>55</v>
      </c>
      <c r="B57" s="21" t="s">
        <v>58</v>
      </c>
      <c r="C57" s="9">
        <v>13005</v>
      </c>
      <c r="D57" s="3">
        <f>'Показатели преступности России'!U58*1000</f>
        <v>34931</v>
      </c>
      <c r="O57" s="15">
        <v>55</v>
      </c>
      <c r="P57" s="21" t="s">
        <v>61</v>
      </c>
      <c r="Q57" s="9">
        <v>8483</v>
      </c>
      <c r="R57" s="20">
        <f>'Показатели преступности России'!D61</f>
        <v>19945</v>
      </c>
      <c r="T57" s="37">
        <f t="shared" si="0"/>
        <v>19945</v>
      </c>
      <c r="U57" s="36">
        <f t="shared" si="1"/>
        <v>8483</v>
      </c>
      <c r="V57" s="36">
        <f t="shared" si="2"/>
        <v>169193435</v>
      </c>
      <c r="W57" s="46">
        <f t="shared" si="3"/>
        <v>286397659.80765623</v>
      </c>
      <c r="X57" s="46">
        <f t="shared" si="4"/>
        <v>397803025</v>
      </c>
      <c r="Y57" s="3">
        <f t="shared" si="5"/>
        <v>71961289</v>
      </c>
      <c r="AR57" s="45">
        <f t="shared" si="6"/>
        <v>9.9007337643395061</v>
      </c>
      <c r="AS57" s="46">
        <f t="shared" si="7"/>
        <v>9.045819439807735</v>
      </c>
      <c r="AT57" s="36">
        <f t="shared" si="8"/>
        <v>89.560249953823117</v>
      </c>
      <c r="AU57" s="46">
        <f t="shared" si="9"/>
        <v>0.11798382832065379</v>
      </c>
      <c r="AV57" s="46">
        <f t="shared" si="10"/>
        <v>98.024529072332328</v>
      </c>
      <c r="AW57" s="3">
        <f t="shared" si="11"/>
        <v>81.82684933760352</v>
      </c>
    </row>
    <row r="58" spans="1:49" ht="15" thickBot="1" x14ac:dyDescent="0.35">
      <c r="A58" s="13">
        <v>56</v>
      </c>
      <c r="B58" s="21" t="s">
        <v>59</v>
      </c>
      <c r="C58" s="9">
        <v>8152</v>
      </c>
      <c r="D58" s="3">
        <f>'Показатели преступности России'!U59*1000</f>
        <v>42723</v>
      </c>
      <c r="O58" s="13">
        <v>56</v>
      </c>
      <c r="P58" s="21" t="s">
        <v>62</v>
      </c>
      <c r="Q58" s="9">
        <v>11024</v>
      </c>
      <c r="R58" s="20">
        <f>'Показатели преступности России'!D62</f>
        <v>16327.000000000002</v>
      </c>
      <c r="T58" s="37">
        <f t="shared" si="0"/>
        <v>16327.000000000002</v>
      </c>
      <c r="U58" s="36">
        <f t="shared" si="1"/>
        <v>11024</v>
      </c>
      <c r="V58" s="36">
        <f t="shared" si="2"/>
        <v>179988848.00000003</v>
      </c>
      <c r="W58" s="46">
        <f t="shared" si="3"/>
        <v>421944492.15765619</v>
      </c>
      <c r="X58" s="46">
        <f t="shared" si="4"/>
        <v>266570929.00000006</v>
      </c>
      <c r="Y58" s="3">
        <f t="shared" si="5"/>
        <v>121528576</v>
      </c>
      <c r="AR58" s="45">
        <f t="shared" si="6"/>
        <v>9.7005754581261652</v>
      </c>
      <c r="AS58" s="46">
        <f t="shared" si="7"/>
        <v>9.3078299932534403</v>
      </c>
      <c r="AT58" s="36">
        <f t="shared" si="8"/>
        <v>90.291307200964951</v>
      </c>
      <c r="AU58" s="46">
        <f t="shared" si="9"/>
        <v>0.2955510248142974</v>
      </c>
      <c r="AV58" s="46">
        <f t="shared" si="10"/>
        <v>94.101164218799653</v>
      </c>
      <c r="AW58" s="3">
        <f t="shared" si="11"/>
        <v>86.635699183308333</v>
      </c>
    </row>
    <row r="59" spans="1:49" ht="15" thickBot="1" x14ac:dyDescent="0.35">
      <c r="A59" s="13">
        <v>57</v>
      </c>
      <c r="B59" s="21" t="s">
        <v>60</v>
      </c>
      <c r="C59" s="9">
        <v>51933</v>
      </c>
      <c r="D59" s="3">
        <f>'Показатели преступности России'!U60*1000</f>
        <v>55909</v>
      </c>
      <c r="O59" s="15">
        <v>57</v>
      </c>
      <c r="P59" s="21" t="s">
        <v>63</v>
      </c>
      <c r="Q59" s="9">
        <v>58538</v>
      </c>
      <c r="R59" s="20">
        <f>'Показатели преступности России'!D63</f>
        <v>86767</v>
      </c>
      <c r="T59" s="37">
        <f t="shared" si="0"/>
        <v>86767</v>
      </c>
      <c r="U59" s="36">
        <f t="shared" si="1"/>
        <v>58538</v>
      </c>
      <c r="V59" s="36">
        <f t="shared" si="2"/>
        <v>5079166646</v>
      </c>
      <c r="W59" s="46">
        <f t="shared" si="3"/>
        <v>2489881509.1576562</v>
      </c>
      <c r="X59" s="46">
        <f t="shared" si="4"/>
        <v>7528512289</v>
      </c>
      <c r="Y59" s="3">
        <f t="shared" si="5"/>
        <v>3426697444</v>
      </c>
      <c r="AR59" s="45">
        <f t="shared" si="6"/>
        <v>11.370981644028259</v>
      </c>
      <c r="AS59" s="46">
        <f t="shared" si="7"/>
        <v>10.977431394988523</v>
      </c>
      <c r="AT59" s="36">
        <f t="shared" si="8"/>
        <v>124.82417089099401</v>
      </c>
      <c r="AU59" s="46">
        <f t="shared" si="9"/>
        <v>1.2695884097988048</v>
      </c>
      <c r="AV59" s="46">
        <f t="shared" si="10"/>
        <v>129.2992235488276</v>
      </c>
      <c r="AW59" s="3">
        <f t="shared" si="11"/>
        <v>120.50400003167967</v>
      </c>
    </row>
    <row r="60" spans="1:49" ht="15" thickBot="1" x14ac:dyDescent="0.35">
      <c r="A60" s="13">
        <v>58</v>
      </c>
      <c r="B60" s="21" t="s">
        <v>61</v>
      </c>
      <c r="C60" s="9">
        <v>8483</v>
      </c>
      <c r="D60" s="3">
        <f>'Показатели преступности России'!U61*1000</f>
        <v>19945</v>
      </c>
      <c r="O60" s="13">
        <v>58</v>
      </c>
      <c r="P60" s="21" t="s">
        <v>64</v>
      </c>
      <c r="Q60" s="9">
        <v>9151</v>
      </c>
      <c r="R60" s="20">
        <f>'Показатели преступности России'!D64</f>
        <v>20954</v>
      </c>
      <c r="T60" s="37">
        <f t="shared" si="0"/>
        <v>20954</v>
      </c>
      <c r="U60" s="36">
        <f t="shared" si="1"/>
        <v>9151</v>
      </c>
      <c r="V60" s="36">
        <f t="shared" si="2"/>
        <v>191750054</v>
      </c>
      <c r="W60" s="46">
        <f t="shared" si="3"/>
        <v>253264546.63265622</v>
      </c>
      <c r="X60" s="46">
        <f t="shared" si="4"/>
        <v>439070116</v>
      </c>
      <c r="Y60" s="3">
        <f t="shared" si="5"/>
        <v>83740801</v>
      </c>
      <c r="AR60" s="45">
        <f t="shared" si="6"/>
        <v>9.950084837912911</v>
      </c>
      <c r="AS60" s="46">
        <f t="shared" si="7"/>
        <v>9.1216184419153787</v>
      </c>
      <c r="AT60" s="36">
        <f t="shared" si="8"/>
        <v>90.760877356129001</v>
      </c>
      <c r="AU60" s="46">
        <f t="shared" si="9"/>
        <v>8.6516379213342223E-2</v>
      </c>
      <c r="AV60" s="46">
        <f t="shared" si="10"/>
        <v>99.004188281664398</v>
      </c>
      <c r="AW60" s="3">
        <f t="shared" si="11"/>
        <v>83.203922999890736</v>
      </c>
    </row>
    <row r="61" spans="1:49" ht="15" thickBot="1" x14ac:dyDescent="0.35">
      <c r="A61" s="13">
        <v>59</v>
      </c>
      <c r="B61" s="21" t="s">
        <v>62</v>
      </c>
      <c r="C61" s="9">
        <v>11024</v>
      </c>
      <c r="D61" s="3">
        <f>'Показатели преступности России'!U62*1000</f>
        <v>16327.000000000002</v>
      </c>
      <c r="O61" s="15">
        <v>59</v>
      </c>
      <c r="P61" s="21" t="s">
        <v>65</v>
      </c>
      <c r="Q61" s="9">
        <v>43280</v>
      </c>
      <c r="R61" s="20">
        <f>'Показатели преступности России'!D65</f>
        <v>58966</v>
      </c>
      <c r="T61" s="37">
        <f t="shared" si="0"/>
        <v>58966</v>
      </c>
      <c r="U61" s="36">
        <f t="shared" si="1"/>
        <v>43280</v>
      </c>
      <c r="V61" s="36">
        <f t="shared" si="2"/>
        <v>2552048480</v>
      </c>
      <c r="W61" s="46">
        <f t="shared" si="3"/>
        <v>488308897.7326563</v>
      </c>
      <c r="X61" s="46">
        <f t="shared" si="4"/>
        <v>3476989156</v>
      </c>
      <c r="Y61" s="3">
        <f t="shared" si="5"/>
        <v>1873158400</v>
      </c>
      <c r="AR61" s="45">
        <f t="shared" si="6"/>
        <v>10.984716285593358</v>
      </c>
      <c r="AS61" s="46">
        <f t="shared" si="7"/>
        <v>10.675445913520363</v>
      </c>
      <c r="AT61" s="36">
        <f t="shared" si="8"/>
        <v>117.26674458221819</v>
      </c>
      <c r="AU61" s="46">
        <f t="shared" si="9"/>
        <v>0.54833251936035199</v>
      </c>
      <c r="AV61" s="46">
        <f t="shared" si="10"/>
        <v>120.66399187497993</v>
      </c>
      <c r="AW61" s="3">
        <f t="shared" si="11"/>
        <v>113.96514545249862</v>
      </c>
    </row>
    <row r="62" spans="1:49" ht="15" thickBot="1" x14ac:dyDescent="0.35">
      <c r="A62" s="13">
        <v>60</v>
      </c>
      <c r="B62" s="21" t="s">
        <v>63</v>
      </c>
      <c r="C62" s="9">
        <v>58538</v>
      </c>
      <c r="D62" s="3">
        <f>'Показатели преступности России'!U63*1000</f>
        <v>86767</v>
      </c>
      <c r="O62" s="13">
        <v>60</v>
      </c>
      <c r="P62" s="21" t="s">
        <v>66</v>
      </c>
      <c r="Q62" s="9">
        <v>29831</v>
      </c>
      <c r="R62" s="20">
        <f>'Показатели преступности России'!D66</f>
        <v>53950</v>
      </c>
      <c r="T62" s="37">
        <f t="shared" si="0"/>
        <v>53950</v>
      </c>
      <c r="U62" s="36">
        <f t="shared" si="1"/>
        <v>29831</v>
      </c>
      <c r="V62" s="36">
        <f t="shared" si="2"/>
        <v>1609382450</v>
      </c>
      <c r="W62" s="46">
        <f t="shared" si="3"/>
        <v>291784901.93265629</v>
      </c>
      <c r="X62" s="46">
        <f t="shared" si="4"/>
        <v>2910602500</v>
      </c>
      <c r="Y62" s="3">
        <f t="shared" si="5"/>
        <v>889888561</v>
      </c>
      <c r="AR62" s="45">
        <f t="shared" si="6"/>
        <v>10.895812970686281</v>
      </c>
      <c r="AS62" s="46">
        <f t="shared" si="7"/>
        <v>10.303303400245593</v>
      </c>
      <c r="AT62" s="36">
        <f t="shared" si="8"/>
        <v>112.26286682931199</v>
      </c>
      <c r="AU62" s="46">
        <f t="shared" si="9"/>
        <v>0.42457143751666443</v>
      </c>
      <c r="AV62" s="46">
        <f t="shared" si="10"/>
        <v>118.7187402921754</v>
      </c>
      <c r="AW62" s="3">
        <f t="shared" si="11"/>
        <v>106.15806095751239</v>
      </c>
    </row>
    <row r="63" spans="1:49" ht="15" thickBot="1" x14ac:dyDescent="0.35">
      <c r="A63" s="13">
        <v>61</v>
      </c>
      <c r="B63" s="21" t="s">
        <v>64</v>
      </c>
      <c r="C63" s="9">
        <v>9151</v>
      </c>
      <c r="D63" s="3">
        <f>'Показатели преступности России'!U64*1000</f>
        <v>20954</v>
      </c>
      <c r="O63" s="15">
        <v>61</v>
      </c>
      <c r="P63" s="21" t="s">
        <v>67</v>
      </c>
      <c r="Q63" s="9">
        <v>8876</v>
      </c>
      <c r="R63" s="20">
        <f>'Показатели преступности России'!D67</f>
        <v>14360</v>
      </c>
      <c r="T63" s="37">
        <f t="shared" si="0"/>
        <v>14360</v>
      </c>
      <c r="U63" s="36">
        <f t="shared" si="1"/>
        <v>8876</v>
      </c>
      <c r="V63" s="36">
        <f t="shared" si="2"/>
        <v>127459360</v>
      </c>
      <c r="W63" s="46">
        <f t="shared" si="3"/>
        <v>506623006.18265617</v>
      </c>
      <c r="X63" s="46">
        <f t="shared" si="4"/>
        <v>206209600</v>
      </c>
      <c r="Y63" s="3">
        <f t="shared" si="5"/>
        <v>78783376</v>
      </c>
      <c r="AR63" s="45">
        <f t="shared" si="6"/>
        <v>9.5722018426022153</v>
      </c>
      <c r="AS63" s="46">
        <f t="shared" si="7"/>
        <v>9.0911062840524846</v>
      </c>
      <c r="AT63" s="36">
        <f t="shared" si="8"/>
        <v>87.021904323499768</v>
      </c>
      <c r="AU63" s="46">
        <f t="shared" si="9"/>
        <v>0.45161042730778267</v>
      </c>
      <c r="AV63" s="46">
        <f t="shared" si="10"/>
        <v>91.62704811551724</v>
      </c>
      <c r="AW63" s="3">
        <f t="shared" si="11"/>
        <v>82.648213467938575</v>
      </c>
    </row>
    <row r="64" spans="1:49" ht="15" thickBot="1" x14ac:dyDescent="0.35">
      <c r="A64" s="13">
        <v>62</v>
      </c>
      <c r="B64" s="21" t="s">
        <v>65</v>
      </c>
      <c r="C64" s="9">
        <v>43280</v>
      </c>
      <c r="D64" s="3">
        <f>'Показатели преступности России'!U65*1000</f>
        <v>58966</v>
      </c>
      <c r="O64" s="13">
        <v>62</v>
      </c>
      <c r="P64" s="21" t="s">
        <v>68</v>
      </c>
      <c r="Q64" s="9">
        <v>54484</v>
      </c>
      <c r="R64" s="20">
        <f>'Показатели преступности России'!D68</f>
        <v>86397</v>
      </c>
      <c r="T64" s="37">
        <f t="shared" si="0"/>
        <v>86397</v>
      </c>
      <c r="U64" s="36">
        <f t="shared" si="1"/>
        <v>54484</v>
      </c>
      <c r="V64" s="36">
        <f t="shared" si="2"/>
        <v>4707254148</v>
      </c>
      <c r="W64" s="46">
        <f t="shared" si="3"/>
        <v>2453093361.9076562</v>
      </c>
      <c r="X64" s="46">
        <f t="shared" si="4"/>
        <v>7464441609</v>
      </c>
      <c r="Y64" s="3">
        <f t="shared" si="5"/>
        <v>2968506256</v>
      </c>
      <c r="AR64" s="45">
        <f t="shared" si="6"/>
        <v>11.366708231967094</v>
      </c>
      <c r="AS64" s="46">
        <f t="shared" si="7"/>
        <v>10.905662359567232</v>
      </c>
      <c r="AT64" s="36">
        <f t="shared" si="8"/>
        <v>123.96148211754654</v>
      </c>
      <c r="AU64" s="46">
        <f t="shared" si="9"/>
        <v>1.2599764511173102</v>
      </c>
      <c r="AV64" s="46">
        <f t="shared" si="10"/>
        <v>129.2020560306685</v>
      </c>
      <c r="AW64" s="3">
        <f t="shared" si="11"/>
        <v>118.93347150088154</v>
      </c>
    </row>
    <row r="65" spans="1:49" ht="15" thickBot="1" x14ac:dyDescent="0.35">
      <c r="A65" s="13">
        <v>63</v>
      </c>
      <c r="B65" s="21" t="s">
        <v>66</v>
      </c>
      <c r="C65" s="9">
        <v>29831</v>
      </c>
      <c r="D65" s="3">
        <f>'Показатели преступности России'!U66*1000</f>
        <v>53950</v>
      </c>
      <c r="O65" s="15">
        <v>63</v>
      </c>
      <c r="P65" s="21" t="s">
        <v>69</v>
      </c>
      <c r="Q65" s="9">
        <v>14013</v>
      </c>
      <c r="R65" s="20">
        <f>'Показатели преступности России'!D69</f>
        <v>23774</v>
      </c>
      <c r="T65" s="37">
        <f t="shared" si="0"/>
        <v>23774</v>
      </c>
      <c r="U65" s="36">
        <f t="shared" si="1"/>
        <v>14013</v>
      </c>
      <c r="V65" s="36">
        <f t="shared" si="2"/>
        <v>333145062</v>
      </c>
      <c r="W65" s="46">
        <f t="shared" si="3"/>
        <v>171460365.13265622</v>
      </c>
      <c r="X65" s="46">
        <f t="shared" si="4"/>
        <v>565203076</v>
      </c>
      <c r="Y65" s="3">
        <f t="shared" si="5"/>
        <v>196364169</v>
      </c>
      <c r="AR65" s="45">
        <f t="shared" si="6"/>
        <v>10.076347825540569</v>
      </c>
      <c r="AS65" s="46">
        <f t="shared" si="7"/>
        <v>9.5477407491702184</v>
      </c>
      <c r="AT65" s="36">
        <f t="shared" si="8"/>
        <v>96.20635673672642</v>
      </c>
      <c r="AU65" s="46">
        <f t="shared" si="9"/>
        <v>2.8181572419756586E-2</v>
      </c>
      <c r="AV65" s="46">
        <f t="shared" si="10"/>
        <v>101.53278550127617</v>
      </c>
      <c r="AW65" s="3">
        <f t="shared" si="11"/>
        <v>91.15935341336548</v>
      </c>
    </row>
    <row r="66" spans="1:49" ht="15" thickBot="1" x14ac:dyDescent="0.35">
      <c r="A66" s="13">
        <v>64</v>
      </c>
      <c r="B66" s="21" t="s">
        <v>67</v>
      </c>
      <c r="C66" s="9">
        <v>8876</v>
      </c>
      <c r="D66" s="3">
        <f>'Показатели преступности России'!U67*1000</f>
        <v>14360</v>
      </c>
      <c r="O66" s="13">
        <v>64</v>
      </c>
      <c r="P66" s="21" t="s">
        <v>70</v>
      </c>
      <c r="Q66" s="9">
        <v>34008</v>
      </c>
      <c r="R66" s="20">
        <f>'Показатели преступности России'!D70</f>
        <v>75061</v>
      </c>
      <c r="T66" s="37">
        <f t="shared" si="0"/>
        <v>75061</v>
      </c>
      <c r="U66" s="36">
        <f t="shared" si="1"/>
        <v>34008</v>
      </c>
      <c r="V66" s="36">
        <f t="shared" si="2"/>
        <v>2552674488</v>
      </c>
      <c r="W66" s="46">
        <f t="shared" si="3"/>
        <v>1458683288.1076565</v>
      </c>
      <c r="X66" s="46">
        <f t="shared" si="4"/>
        <v>5634153721</v>
      </c>
      <c r="Y66" s="3">
        <f t="shared" si="5"/>
        <v>1156544064</v>
      </c>
      <c r="AR66" s="45">
        <f t="shared" si="6"/>
        <v>11.226056395275458</v>
      </c>
      <c r="AS66" s="46">
        <f t="shared" si="7"/>
        <v>10.434351070038627</v>
      </c>
      <c r="AT66" s="36">
        <f t="shared" si="8"/>
        <v>117.13661356035645</v>
      </c>
      <c r="AU66" s="46">
        <f t="shared" si="9"/>
        <v>0.96399975080006572</v>
      </c>
      <c r="AV66" s="46">
        <f t="shared" si="10"/>
        <v>126.02434218990501</v>
      </c>
      <c r="AW66" s="3">
        <f t="shared" si="11"/>
        <v>108.87568225281623</v>
      </c>
    </row>
    <row r="67" spans="1:49" ht="15" thickBot="1" x14ac:dyDescent="0.35">
      <c r="A67" s="13">
        <v>65</v>
      </c>
      <c r="B67" s="21" t="s">
        <v>68</v>
      </c>
      <c r="C67" s="9">
        <v>54484</v>
      </c>
      <c r="D67" s="3">
        <f>'Показатели преступности России'!U68*1000</f>
        <v>86397</v>
      </c>
      <c r="O67" s="15">
        <v>65</v>
      </c>
      <c r="P67" s="21" t="s">
        <v>71</v>
      </c>
      <c r="Q67" s="9">
        <v>13537</v>
      </c>
      <c r="R67" s="20">
        <f>'Показатели преступности России'!D71</f>
        <v>20197</v>
      </c>
      <c r="T67" s="37">
        <f t="shared" si="0"/>
        <v>20197</v>
      </c>
      <c r="U67" s="36">
        <f t="shared" si="1"/>
        <v>13537</v>
      </c>
      <c r="V67" s="36">
        <f t="shared" si="2"/>
        <v>273406789</v>
      </c>
      <c r="W67" s="46">
        <f t="shared" si="3"/>
        <v>277931826.90765619</v>
      </c>
      <c r="X67" s="46">
        <f t="shared" si="4"/>
        <v>407918809</v>
      </c>
      <c r="Y67" s="3">
        <f t="shared" si="5"/>
        <v>183250369</v>
      </c>
      <c r="AR67" s="45">
        <f t="shared" si="6"/>
        <v>9.913289357508388</v>
      </c>
      <c r="AS67" s="46">
        <f t="shared" si="7"/>
        <v>9.513181956185786</v>
      </c>
      <c r="AT67" s="36">
        <f t="shared" si="8"/>
        <v>94.306925442297384</v>
      </c>
      <c r="AU67" s="46">
        <f t="shared" si="9"/>
        <v>0.1095160865677092</v>
      </c>
      <c r="AV67" s="46">
        <f t="shared" si="10"/>
        <v>98.273305885689069</v>
      </c>
      <c r="AW67" s="3">
        <f t="shared" si="11"/>
        <v>90.500630931498819</v>
      </c>
    </row>
    <row r="68" spans="1:49" ht="15" thickBot="1" x14ac:dyDescent="0.35">
      <c r="A68" s="13">
        <v>66</v>
      </c>
      <c r="B68" s="21" t="s">
        <v>69</v>
      </c>
      <c r="C68" s="9">
        <v>14013</v>
      </c>
      <c r="D68" s="3">
        <f>'Показатели преступности России'!U69*1000</f>
        <v>23774</v>
      </c>
      <c r="O68" s="13">
        <v>66</v>
      </c>
      <c r="P68" s="21" t="s">
        <v>72</v>
      </c>
      <c r="Q68" s="9">
        <v>20583</v>
      </c>
      <c r="R68" s="20">
        <f>'Показатели преступности России'!D72</f>
        <v>25164</v>
      </c>
      <c r="T68" s="37">
        <f t="shared" ref="T68:T82" si="12">R68</f>
        <v>25164</v>
      </c>
      <c r="U68" s="36">
        <f t="shared" ref="U68:U82" si="13">Q68</f>
        <v>20583</v>
      </c>
      <c r="V68" s="36">
        <f t="shared" ref="V68:V82" si="14">T68*U68</f>
        <v>517950612</v>
      </c>
      <c r="W68" s="46">
        <f t="shared" ref="W68:W82" si="15">(T68-T$83)^2</f>
        <v>136990345.88265622</v>
      </c>
      <c r="X68" s="46">
        <f t="shared" ref="X68:X82" si="16">T68^2</f>
        <v>633226896</v>
      </c>
      <c r="Y68" s="3">
        <f t="shared" ref="Y68:Y82" si="17">U68^2</f>
        <v>423659889</v>
      </c>
      <c r="AR68" s="45">
        <f t="shared" ref="AR68:AR82" si="18">LN(T68)</f>
        <v>10.133169680689921</v>
      </c>
      <c r="AS68" s="46">
        <f t="shared" ref="AS68:AS82" si="19">LN(U68)</f>
        <v>9.9322207713590007</v>
      </c>
      <c r="AT68" s="36">
        <f t="shared" ref="AT68:AT82" si="20">AR68*AS68</f>
        <v>100.64487838225368</v>
      </c>
      <c r="AU68" s="46">
        <f t="shared" ref="AU68:AU82" si="21">(AR68-AR$83)^2</f>
        <v>1.2332507791422639E-2</v>
      </c>
      <c r="AV68" s="46">
        <f t="shared" ref="AV68:AV82" si="22">AR68^2</f>
        <v>102.68112777765347</v>
      </c>
      <c r="AW68" s="3">
        <f t="shared" ref="AW68:AW82" si="23">AS68^2</f>
        <v>98.649009451015189</v>
      </c>
    </row>
    <row r="69" spans="1:49" ht="15" thickBot="1" x14ac:dyDescent="0.35">
      <c r="A69" s="13">
        <v>67</v>
      </c>
      <c r="B69" s="21" t="s">
        <v>70</v>
      </c>
      <c r="C69" s="9">
        <v>34008</v>
      </c>
      <c r="D69" s="3">
        <f>'Показатели преступности России'!U70*1000</f>
        <v>75061</v>
      </c>
      <c r="O69" s="15">
        <v>67</v>
      </c>
      <c r="P69" s="21" t="s">
        <v>73</v>
      </c>
      <c r="Q69" s="9">
        <v>16813</v>
      </c>
      <c r="R69" s="20">
        <f>'Показатели преступности России'!D73</f>
        <v>36978</v>
      </c>
      <c r="T69" s="37">
        <f t="shared" si="12"/>
        <v>36978</v>
      </c>
      <c r="U69" s="36">
        <f t="shared" si="13"/>
        <v>16813</v>
      </c>
      <c r="V69" s="36">
        <f t="shared" si="14"/>
        <v>621711114</v>
      </c>
      <c r="W69" s="46">
        <f t="shared" si="15"/>
        <v>12036.832656250319</v>
      </c>
      <c r="X69" s="46">
        <f t="shared" si="16"/>
        <v>1367372484</v>
      </c>
      <c r="Y69" s="3">
        <f t="shared" si="17"/>
        <v>282676969</v>
      </c>
      <c r="AR69" s="45">
        <f t="shared" si="18"/>
        <v>10.518078420190298</v>
      </c>
      <c r="AS69" s="46">
        <f t="shared" si="19"/>
        <v>9.7299076756789287</v>
      </c>
      <c r="AT69" s="36">
        <f t="shared" si="20"/>
        <v>102.33993195400248</v>
      </c>
      <c r="AU69" s="46">
        <f t="shared" si="21"/>
        <v>7.4997609729178003E-2</v>
      </c>
      <c r="AV69" s="46">
        <f t="shared" si="22"/>
        <v>110.62997365327283</v>
      </c>
      <c r="AW69" s="3">
        <f t="shared" si="23"/>
        <v>94.671103377235738</v>
      </c>
    </row>
    <row r="70" spans="1:49" ht="15" thickBot="1" x14ac:dyDescent="0.35">
      <c r="A70" s="13">
        <v>68</v>
      </c>
      <c r="B70" s="21" t="s">
        <v>71</v>
      </c>
      <c r="C70" s="9">
        <v>13537</v>
      </c>
      <c r="D70" s="3">
        <f>'Показатели преступности России'!U71*1000</f>
        <v>20197</v>
      </c>
      <c r="O70" s="13">
        <v>68</v>
      </c>
      <c r="P70" s="21" t="s">
        <v>74</v>
      </c>
      <c r="Q70" s="9">
        <v>15554</v>
      </c>
      <c r="R70" s="20">
        <f>'Показатели преступности России'!D74</f>
        <v>31332</v>
      </c>
      <c r="T70" s="37">
        <f t="shared" si="12"/>
        <v>31332</v>
      </c>
      <c r="U70" s="36">
        <f t="shared" si="13"/>
        <v>15554</v>
      </c>
      <c r="V70" s="36">
        <f t="shared" si="14"/>
        <v>487337928</v>
      </c>
      <c r="W70" s="46">
        <f t="shared" si="15"/>
        <v>30650479.282656234</v>
      </c>
      <c r="X70" s="46">
        <f t="shared" si="16"/>
        <v>981694224</v>
      </c>
      <c r="Y70" s="3">
        <f t="shared" si="17"/>
        <v>241926916</v>
      </c>
      <c r="AR70" s="45">
        <f t="shared" si="18"/>
        <v>10.352395218487128</v>
      </c>
      <c r="AS70" s="46">
        <f t="shared" si="19"/>
        <v>9.6520731192548883</v>
      </c>
      <c r="AT70" s="36">
        <f t="shared" si="20"/>
        <v>99.922075608262446</v>
      </c>
      <c r="AU70" s="46">
        <f t="shared" si="21"/>
        <v>1.1701552183589791E-2</v>
      </c>
      <c r="AV70" s="46">
        <f t="shared" si="22"/>
        <v>107.17208675975516</v>
      </c>
      <c r="AW70" s="3">
        <f t="shared" si="23"/>
        <v>93.16251549944279</v>
      </c>
    </row>
    <row r="71" spans="1:49" ht="15" thickBot="1" x14ac:dyDescent="0.35">
      <c r="A71" s="13">
        <v>69</v>
      </c>
      <c r="B71" s="21" t="s">
        <v>72</v>
      </c>
      <c r="C71" s="9">
        <v>20583</v>
      </c>
      <c r="D71" s="3">
        <f>'Показатели преступности России'!U72*1000</f>
        <v>25164</v>
      </c>
      <c r="O71" s="15">
        <v>69</v>
      </c>
      <c r="P71" s="21" t="s">
        <v>75</v>
      </c>
      <c r="Q71" s="9">
        <v>24160</v>
      </c>
      <c r="R71" s="20">
        <f>'Показатели преступности России'!D75</f>
        <v>32293.999999999996</v>
      </c>
      <c r="T71" s="37">
        <f t="shared" si="12"/>
        <v>32293.999999999996</v>
      </c>
      <c r="U71" s="36">
        <f t="shared" si="13"/>
        <v>24160</v>
      </c>
      <c r="V71" s="36">
        <f t="shared" si="14"/>
        <v>780223039.99999988</v>
      </c>
      <c r="W71" s="46">
        <f t="shared" si="15"/>
        <v>20924106.132656269</v>
      </c>
      <c r="X71" s="46">
        <f t="shared" si="16"/>
        <v>1042902435.9999998</v>
      </c>
      <c r="Y71" s="3">
        <f t="shared" si="17"/>
        <v>583705600</v>
      </c>
      <c r="AR71" s="45">
        <f t="shared" si="18"/>
        <v>10.382636733441567</v>
      </c>
      <c r="AS71" s="46">
        <f t="shared" si="19"/>
        <v>10.092453652048752</v>
      </c>
      <c r="AT71" s="36">
        <f t="shared" si="20"/>
        <v>104.78628001831787</v>
      </c>
      <c r="AU71" s="46">
        <f t="shared" si="21"/>
        <v>1.9158775328890192E-2</v>
      </c>
      <c r="AV71" s="46">
        <f t="shared" si="22"/>
        <v>107.79914553861016</v>
      </c>
      <c r="AW71" s="3">
        <f t="shared" si="23"/>
        <v>101.85762071875219</v>
      </c>
    </row>
    <row r="72" spans="1:49" ht="15" thickBot="1" x14ac:dyDescent="0.35">
      <c r="A72" s="13">
        <v>70</v>
      </c>
      <c r="B72" s="21" t="s">
        <v>73</v>
      </c>
      <c r="C72" s="9">
        <v>16813</v>
      </c>
      <c r="D72" s="3">
        <f>'Показатели преступности России'!U73*1000</f>
        <v>36978</v>
      </c>
      <c r="F72" s="31"/>
      <c r="O72" s="13">
        <v>70</v>
      </c>
      <c r="P72" s="21" t="s">
        <v>76</v>
      </c>
      <c r="Q72" s="9">
        <v>26524</v>
      </c>
      <c r="R72" s="20">
        <f>'Показатели преступности России'!D76</f>
        <v>33592</v>
      </c>
      <c r="T72" s="37">
        <f t="shared" si="12"/>
        <v>33592</v>
      </c>
      <c r="U72" s="36">
        <f t="shared" si="13"/>
        <v>26524</v>
      </c>
      <c r="V72" s="36">
        <f t="shared" si="14"/>
        <v>890994208</v>
      </c>
      <c r="W72" s="46">
        <f t="shared" si="15"/>
        <v>10734059.782656241</v>
      </c>
      <c r="X72" s="46">
        <f t="shared" si="16"/>
        <v>1128422464</v>
      </c>
      <c r="Y72" s="3">
        <f t="shared" si="17"/>
        <v>703522576</v>
      </c>
      <c r="AR72" s="45">
        <f t="shared" si="18"/>
        <v>10.42204322236403</v>
      </c>
      <c r="AS72" s="46">
        <f t="shared" si="19"/>
        <v>10.185805262488758</v>
      </c>
      <c r="AT72" s="36">
        <f t="shared" si="20"/>
        <v>106.15690270024083</v>
      </c>
      <c r="AU72" s="46">
        <f t="shared" si="21"/>
        <v>3.162056299203532E-2</v>
      </c>
      <c r="AV72" s="46">
        <f t="shared" si="22"/>
        <v>108.61898492882401</v>
      </c>
      <c r="AW72" s="3">
        <f t="shared" si="23"/>
        <v>103.75062884534368</v>
      </c>
    </row>
    <row r="73" spans="1:49" ht="15" thickBot="1" x14ac:dyDescent="0.35">
      <c r="A73" s="13">
        <v>71</v>
      </c>
      <c r="B73" s="21" t="s">
        <v>74</v>
      </c>
      <c r="C73" s="9">
        <v>15554</v>
      </c>
      <c r="D73" s="3">
        <f>'Показатели преступности России'!U74*1000</f>
        <v>31332</v>
      </c>
      <c r="O73" s="15">
        <v>71</v>
      </c>
      <c r="P73" s="21" t="s">
        <v>77</v>
      </c>
      <c r="Q73" s="9">
        <v>12276</v>
      </c>
      <c r="R73" s="20">
        <f>'Показатели преступности России'!D77</f>
        <v>26004</v>
      </c>
      <c r="T73" s="37">
        <f t="shared" si="12"/>
        <v>26004</v>
      </c>
      <c r="U73" s="36">
        <f t="shared" si="13"/>
        <v>12276</v>
      </c>
      <c r="V73" s="36">
        <f t="shared" si="14"/>
        <v>319225104</v>
      </c>
      <c r="W73" s="46">
        <f t="shared" si="15"/>
        <v>118032742.88265622</v>
      </c>
      <c r="X73" s="46">
        <f t="shared" si="16"/>
        <v>676208016</v>
      </c>
      <c r="Y73" s="3">
        <f t="shared" si="17"/>
        <v>150700176</v>
      </c>
      <c r="AR73" s="45">
        <f t="shared" si="18"/>
        <v>10.16600565132436</v>
      </c>
      <c r="AS73" s="46">
        <f t="shared" si="19"/>
        <v>9.4154014157396269</v>
      </c>
      <c r="AT73" s="36">
        <f t="shared" si="20"/>
        <v>95.717024001896419</v>
      </c>
      <c r="AU73" s="46">
        <f t="shared" si="21"/>
        <v>6.117719842857282E-3</v>
      </c>
      <c r="AV73" s="46">
        <f t="shared" si="22"/>
        <v>103.34767090275882</v>
      </c>
      <c r="AW73" s="3">
        <f t="shared" si="23"/>
        <v>88.649783819511768</v>
      </c>
    </row>
    <row r="74" spans="1:49" ht="15" thickBot="1" x14ac:dyDescent="0.35">
      <c r="A74" s="13">
        <v>72</v>
      </c>
      <c r="B74" s="21" t="s">
        <v>75</v>
      </c>
      <c r="C74" s="9">
        <v>24160</v>
      </c>
      <c r="D74" s="3">
        <f>'Показатели преступности России'!U75*1000</f>
        <v>32293.999999999996</v>
      </c>
      <c r="O74" s="13">
        <v>72</v>
      </c>
      <c r="P74" s="21" t="s">
        <v>78</v>
      </c>
      <c r="Q74" s="9">
        <v>21987</v>
      </c>
      <c r="R74" s="20">
        <f>'Показатели преступности России'!D78</f>
        <v>21545</v>
      </c>
      <c r="T74" s="37">
        <f t="shared" si="12"/>
        <v>21545</v>
      </c>
      <c r="U74" s="36">
        <f t="shared" si="13"/>
        <v>21987</v>
      </c>
      <c r="V74" s="36">
        <f t="shared" si="14"/>
        <v>473709915</v>
      </c>
      <c r="W74" s="46">
        <f t="shared" si="15"/>
        <v>234803139.8076562</v>
      </c>
      <c r="X74" s="46">
        <f t="shared" si="16"/>
        <v>464187025</v>
      </c>
      <c r="Y74" s="3">
        <f t="shared" si="17"/>
        <v>483428169</v>
      </c>
      <c r="AR74" s="45">
        <f t="shared" si="18"/>
        <v>9.9778990500499383</v>
      </c>
      <c r="AS74" s="46">
        <f t="shared" si="19"/>
        <v>9.9982066485939605</v>
      </c>
      <c r="AT74" s="36">
        <f t="shared" si="20"/>
        <v>99.761096621208651</v>
      </c>
      <c r="AU74" s="46">
        <f t="shared" si="21"/>
        <v>7.092765027161213E-2</v>
      </c>
      <c r="AV74" s="46">
        <f t="shared" si="22"/>
        <v>99.558469452987467</v>
      </c>
      <c r="AW74" s="3">
        <f t="shared" si="23"/>
        <v>99.964136187988473</v>
      </c>
    </row>
    <row r="75" spans="1:49" ht="15" thickBot="1" x14ac:dyDescent="0.35">
      <c r="A75" s="13">
        <v>73</v>
      </c>
      <c r="B75" s="21" t="s">
        <v>76</v>
      </c>
      <c r="C75" s="9">
        <v>26524</v>
      </c>
      <c r="D75" s="3">
        <f>'Показатели преступности России'!U76*1000</f>
        <v>33592</v>
      </c>
      <c r="O75" s="15">
        <v>73</v>
      </c>
      <c r="P75" s="21" t="s">
        <v>79</v>
      </c>
      <c r="Q75" s="9">
        <v>20788</v>
      </c>
      <c r="R75" s="20">
        <f>'Показатели преступности России'!D79</f>
        <v>24430</v>
      </c>
      <c r="T75" s="37">
        <f t="shared" si="12"/>
        <v>24430</v>
      </c>
      <c r="U75" s="36">
        <f t="shared" si="13"/>
        <v>20788</v>
      </c>
      <c r="V75" s="36">
        <f t="shared" si="14"/>
        <v>507850840</v>
      </c>
      <c r="W75" s="46">
        <f t="shared" si="15"/>
        <v>154710995.93265623</v>
      </c>
      <c r="X75" s="46">
        <f t="shared" si="16"/>
        <v>596824900</v>
      </c>
      <c r="Y75" s="3">
        <f t="shared" si="17"/>
        <v>432140944</v>
      </c>
      <c r="AR75" s="45">
        <f t="shared" si="18"/>
        <v>10.103567164251785</v>
      </c>
      <c r="AS75" s="46">
        <f t="shared" si="19"/>
        <v>9.9421311761283331</v>
      </c>
      <c r="AT75" s="36">
        <f t="shared" si="20"/>
        <v>100.45099009381421</v>
      </c>
      <c r="AU75" s="46">
        <f t="shared" si="21"/>
        <v>1.9783643709150003E-2</v>
      </c>
      <c r="AV75" s="46">
        <f t="shared" si="22"/>
        <v>102.08206944254687</v>
      </c>
      <c r="AW75" s="3">
        <f t="shared" si="23"/>
        <v>98.845972323342949</v>
      </c>
    </row>
    <row r="76" spans="1:49" ht="15" thickBot="1" x14ac:dyDescent="0.35">
      <c r="A76" s="13">
        <v>74</v>
      </c>
      <c r="B76" s="21" t="s">
        <v>77</v>
      </c>
      <c r="C76" s="9">
        <v>12276</v>
      </c>
      <c r="D76" s="3">
        <f>'Показатели преступности России'!U77*1000</f>
        <v>26004</v>
      </c>
      <c r="O76" s="13">
        <v>74</v>
      </c>
      <c r="P76" s="21" t="s">
        <v>80</v>
      </c>
      <c r="Q76" s="9">
        <v>65299</v>
      </c>
      <c r="R76" s="20">
        <f>'Показатели преступности России'!D80</f>
        <v>91697</v>
      </c>
      <c r="T76" s="37">
        <f t="shared" si="12"/>
        <v>91697</v>
      </c>
      <c r="U76" s="36">
        <f t="shared" si="13"/>
        <v>65299</v>
      </c>
      <c r="V76" s="36">
        <f t="shared" si="14"/>
        <v>5987722403</v>
      </c>
      <c r="W76" s="46">
        <f t="shared" si="15"/>
        <v>3006187714.4076562</v>
      </c>
      <c r="X76" s="46">
        <f t="shared" si="16"/>
        <v>8408339809</v>
      </c>
      <c r="Y76" s="3">
        <f t="shared" si="17"/>
        <v>4263959401</v>
      </c>
      <c r="AR76" s="45">
        <f t="shared" si="18"/>
        <v>11.42624494233317</v>
      </c>
      <c r="AS76" s="46">
        <f t="shared" si="19"/>
        <v>11.086732001211582</v>
      </c>
      <c r="AT76" s="36">
        <f t="shared" si="20"/>
        <v>126.67971545584714</v>
      </c>
      <c r="AU76" s="46">
        <f t="shared" si="21"/>
        <v>1.3971794052465913</v>
      </c>
      <c r="AV76" s="46">
        <f t="shared" si="22"/>
        <v>130.55907348219435</v>
      </c>
      <c r="AW76" s="3">
        <f t="shared" si="23"/>
        <v>122.91562646668896</v>
      </c>
    </row>
    <row r="77" spans="1:49" ht="15" thickBot="1" x14ac:dyDescent="0.35">
      <c r="A77" s="13">
        <v>75</v>
      </c>
      <c r="B77" s="21" t="s">
        <v>78</v>
      </c>
      <c r="C77" s="9">
        <v>21987</v>
      </c>
      <c r="D77" s="3">
        <f>'Показатели преступности России'!U78*1000</f>
        <v>21545</v>
      </c>
      <c r="O77" s="15">
        <v>75</v>
      </c>
      <c r="P77" s="21" t="s">
        <v>81</v>
      </c>
      <c r="Q77" s="9">
        <v>3128</v>
      </c>
      <c r="R77" s="20">
        <f>'Показатели преступности России'!D81</f>
        <v>95227</v>
      </c>
      <c r="T77" s="37">
        <f t="shared" si="12"/>
        <v>95227</v>
      </c>
      <c r="U77" s="36">
        <f t="shared" si="13"/>
        <v>3128</v>
      </c>
      <c r="V77" s="36">
        <f t="shared" si="14"/>
        <v>297870056</v>
      </c>
      <c r="W77" s="46">
        <f t="shared" si="15"/>
        <v>3405739324.6576562</v>
      </c>
      <c r="X77" s="46">
        <f t="shared" si="16"/>
        <v>9068181529</v>
      </c>
      <c r="Y77" s="3">
        <f t="shared" si="17"/>
        <v>9784384</v>
      </c>
      <c r="AR77" s="45">
        <f t="shared" si="18"/>
        <v>11.464018794014144</v>
      </c>
      <c r="AS77" s="46">
        <f t="shared" si="19"/>
        <v>8.0481491016652011</v>
      </c>
      <c r="AT77" s="36">
        <f t="shared" si="20"/>
        <v>92.264132558517915</v>
      </c>
      <c r="AU77" s="46">
        <f t="shared" si="21"/>
        <v>1.4879054250909078</v>
      </c>
      <c r="AV77" s="46">
        <f t="shared" si="22"/>
        <v>131.42372690950953</v>
      </c>
      <c r="AW77" s="3">
        <f t="shared" si="23"/>
        <v>64.772703962634381</v>
      </c>
    </row>
    <row r="78" spans="1:49" ht="15" thickBot="1" x14ac:dyDescent="0.35">
      <c r="A78" s="13">
        <v>76</v>
      </c>
      <c r="B78" s="21" t="s">
        <v>79</v>
      </c>
      <c r="C78" s="9">
        <v>20788</v>
      </c>
      <c r="D78" s="3">
        <f>'Показатели преступности России'!U79*1000</f>
        <v>24430</v>
      </c>
      <c r="O78" s="13">
        <v>76</v>
      </c>
      <c r="P78" s="21" t="s">
        <v>82</v>
      </c>
      <c r="Q78" s="9">
        <v>12567</v>
      </c>
      <c r="R78" s="20">
        <f>'Показатели преступности России'!D82</f>
        <v>28295</v>
      </c>
      <c r="T78" s="37">
        <f t="shared" si="12"/>
        <v>28295</v>
      </c>
      <c r="U78" s="36">
        <f t="shared" si="13"/>
        <v>12567</v>
      </c>
      <c r="V78" s="36">
        <f t="shared" si="14"/>
        <v>355583265</v>
      </c>
      <c r="W78" s="46">
        <f t="shared" si="15"/>
        <v>73501258.557656229</v>
      </c>
      <c r="X78" s="46">
        <f t="shared" si="16"/>
        <v>800607025</v>
      </c>
      <c r="Y78" s="3">
        <f t="shared" si="17"/>
        <v>157929489</v>
      </c>
      <c r="AR78" s="45">
        <f t="shared" si="18"/>
        <v>10.250440389576625</v>
      </c>
      <c r="AS78" s="46">
        <f t="shared" si="19"/>
        <v>9.4388296096151443</v>
      </c>
      <c r="AT78" s="36">
        <f t="shared" si="20"/>
        <v>96.752160260730832</v>
      </c>
      <c r="AU78" s="46">
        <f t="shared" si="21"/>
        <v>3.8674519283140972E-5</v>
      </c>
      <c r="AV78" s="46">
        <f t="shared" si="22"/>
        <v>105.07152818026378</v>
      </c>
      <c r="AW78" s="3">
        <f t="shared" si="23"/>
        <v>89.091504399347571</v>
      </c>
    </row>
    <row r="79" spans="1:49" ht="15" thickBot="1" x14ac:dyDescent="0.35">
      <c r="A79" s="13">
        <v>77</v>
      </c>
      <c r="B79" s="21" t="s">
        <v>80</v>
      </c>
      <c r="C79" s="9">
        <v>65299</v>
      </c>
      <c r="D79" s="3">
        <f>'Показатели преступности России'!U80*1000</f>
        <v>91697</v>
      </c>
      <c r="O79" s="15">
        <v>77</v>
      </c>
      <c r="P79" s="21" t="s">
        <v>83</v>
      </c>
      <c r="Q79" s="9">
        <v>784</v>
      </c>
      <c r="R79" s="20">
        <f>'Показатели преступности России'!D83</f>
        <v>803</v>
      </c>
      <c r="T79" s="37">
        <f t="shared" si="12"/>
        <v>803</v>
      </c>
      <c r="U79" s="36">
        <f t="shared" si="13"/>
        <v>784</v>
      </c>
      <c r="V79" s="36">
        <f t="shared" si="14"/>
        <v>629552</v>
      </c>
      <c r="W79" s="46">
        <f t="shared" si="15"/>
        <v>1300704962.4576561</v>
      </c>
      <c r="X79" s="46">
        <f t="shared" si="16"/>
        <v>644809</v>
      </c>
      <c r="Y79" s="3">
        <f t="shared" si="17"/>
        <v>614656</v>
      </c>
      <c r="AR79" s="45">
        <f t="shared" si="18"/>
        <v>6.6883547139467616</v>
      </c>
      <c r="AS79" s="46">
        <f t="shared" si="19"/>
        <v>6.6644090203504076</v>
      </c>
      <c r="AT79" s="36">
        <f t="shared" si="20"/>
        <v>44.573931486929972</v>
      </c>
      <c r="AU79" s="46">
        <f t="shared" si="21"/>
        <v>12.64418863919985</v>
      </c>
      <c r="AV79" s="46">
        <f t="shared" si="22"/>
        <v>44.734088779573867</v>
      </c>
      <c r="AW79" s="3">
        <f t="shared" si="23"/>
        <v>44.414347590527882</v>
      </c>
    </row>
    <row r="80" spans="1:49" ht="15" thickBot="1" x14ac:dyDescent="0.35">
      <c r="A80" s="13">
        <v>78</v>
      </c>
      <c r="B80" s="21" t="s">
        <v>81</v>
      </c>
      <c r="C80" s="9">
        <v>3128</v>
      </c>
      <c r="D80" s="3">
        <f>'Показатели преступности России'!U81*1000</f>
        <v>95227</v>
      </c>
      <c r="O80" s="13">
        <v>78</v>
      </c>
      <c r="P80" s="21" t="s">
        <v>84</v>
      </c>
      <c r="Q80" s="9">
        <v>6961</v>
      </c>
      <c r="R80" s="20">
        <f>'Показатели преступности России'!D84</f>
        <v>6291</v>
      </c>
      <c r="T80" s="37">
        <f t="shared" si="12"/>
        <v>6291</v>
      </c>
      <c r="U80" s="36">
        <f t="shared" si="13"/>
        <v>6961</v>
      </c>
      <c r="V80" s="36">
        <f t="shared" si="14"/>
        <v>43791651</v>
      </c>
      <c r="W80" s="46">
        <f t="shared" si="15"/>
        <v>934970510.85765612</v>
      </c>
      <c r="X80" s="46">
        <f t="shared" si="16"/>
        <v>39576681</v>
      </c>
      <c r="Y80" s="3">
        <f t="shared" si="17"/>
        <v>48455521</v>
      </c>
      <c r="AR80" s="45">
        <f t="shared" si="18"/>
        <v>8.7468753195700302</v>
      </c>
      <c r="AS80" s="46">
        <f t="shared" si="19"/>
        <v>8.8480784211686672</v>
      </c>
      <c r="AT80" s="36">
        <f t="shared" si="20"/>
        <v>77.393038767740379</v>
      </c>
      <c r="AU80" s="46">
        <f t="shared" si="21"/>
        <v>2.2420456004890159</v>
      </c>
      <c r="AV80" s="46">
        <f t="shared" si="22"/>
        <v>76.507827856103319</v>
      </c>
      <c r="AW80" s="3">
        <f t="shared" si="23"/>
        <v>78.288491747150616</v>
      </c>
    </row>
    <row r="81" spans="1:49" ht="15" thickBot="1" x14ac:dyDescent="0.35">
      <c r="A81" s="13">
        <v>79</v>
      </c>
      <c r="B81" s="21" t="s">
        <v>82</v>
      </c>
      <c r="C81" s="9">
        <v>12567</v>
      </c>
      <c r="D81" s="3">
        <f>'Показатели преступности России'!U82*1000</f>
        <v>28295</v>
      </c>
      <c r="O81" s="15">
        <v>79</v>
      </c>
      <c r="P81" s="21" t="s">
        <v>85</v>
      </c>
      <c r="Q81" s="9">
        <v>16066</v>
      </c>
      <c r="R81" s="20">
        <f>'Показатели преступности России'!D85</f>
        <v>38363</v>
      </c>
      <c r="T81" s="37">
        <f t="shared" si="12"/>
        <v>38363</v>
      </c>
      <c r="U81" s="36">
        <f t="shared" si="13"/>
        <v>16066</v>
      </c>
      <c r="V81" s="36">
        <f t="shared" si="14"/>
        <v>616339958</v>
      </c>
      <c r="W81" s="46">
        <f t="shared" si="15"/>
        <v>2234165.4576562545</v>
      </c>
      <c r="X81" s="46">
        <f t="shared" si="16"/>
        <v>1471719769</v>
      </c>
      <c r="Y81" s="3">
        <f t="shared" si="17"/>
        <v>258116356</v>
      </c>
      <c r="AR81" s="45">
        <f t="shared" si="18"/>
        <v>10.554848732404476</v>
      </c>
      <c r="AS81" s="46">
        <f t="shared" si="19"/>
        <v>9.6844605167337576</v>
      </c>
      <c r="AT81" s="36">
        <f t="shared" si="20"/>
        <v>102.2180158090685</v>
      </c>
      <c r="AU81" s="46">
        <f t="shared" si="21"/>
        <v>9.6489274100591077E-2</v>
      </c>
      <c r="AV81" s="46">
        <f t="shared" si="22"/>
        <v>111.40483176394038</v>
      </c>
      <c r="AW81" s="3">
        <f t="shared" si="23"/>
        <v>93.788775500175078</v>
      </c>
    </row>
    <row r="82" spans="1:49" ht="15" thickBot="1" x14ac:dyDescent="0.35">
      <c r="A82" s="13">
        <v>80</v>
      </c>
      <c r="B82" s="21" t="s">
        <v>83</v>
      </c>
      <c r="C82" s="9">
        <v>784</v>
      </c>
      <c r="D82" s="3">
        <f>'Показатели преступности России'!U83*1000</f>
        <v>803</v>
      </c>
      <c r="O82" s="13">
        <v>80</v>
      </c>
      <c r="P82" s="22" t="s">
        <v>88</v>
      </c>
      <c r="Q82" s="23">
        <v>6136</v>
      </c>
      <c r="R82" s="35">
        <f>'Показатели преступности России'!D88</f>
        <v>73230</v>
      </c>
      <c r="T82" s="37">
        <f t="shared" si="12"/>
        <v>73230</v>
      </c>
      <c r="U82" s="38">
        <f t="shared" si="13"/>
        <v>6136</v>
      </c>
      <c r="V82" s="38">
        <f t="shared" si="14"/>
        <v>449339280</v>
      </c>
      <c r="W82" s="46">
        <f t="shared" si="15"/>
        <v>1322174135.9326563</v>
      </c>
      <c r="X82" s="46">
        <f t="shared" si="16"/>
        <v>5362632900</v>
      </c>
      <c r="Y82" s="39">
        <f t="shared" si="17"/>
        <v>37650496</v>
      </c>
      <c r="AR82" s="45">
        <f t="shared" si="18"/>
        <v>11.201360452055116</v>
      </c>
      <c r="AS82" s="46">
        <f t="shared" si="19"/>
        <v>8.7219283430470913</v>
      </c>
      <c r="AT82" s="38">
        <f t="shared" si="20"/>
        <v>97.697463207466299</v>
      </c>
      <c r="AU82" s="46">
        <f t="shared" si="21"/>
        <v>0.91611496303182183</v>
      </c>
      <c r="AV82" s="46">
        <f t="shared" si="22"/>
        <v>125.47047597686439</v>
      </c>
      <c r="AW82" s="39">
        <f t="shared" si="23"/>
        <v>76.072034021248186</v>
      </c>
    </row>
    <row r="83" spans="1:49" ht="15" thickBot="1" x14ac:dyDescent="0.35">
      <c r="A83" s="13">
        <v>81</v>
      </c>
      <c r="B83" s="21" t="s">
        <v>84</v>
      </c>
      <c r="C83" s="9">
        <v>6961</v>
      </c>
      <c r="D83" s="3">
        <f>'Показатели преступности России'!U84*1000</f>
        <v>6291</v>
      </c>
      <c r="S83" s="40" t="s">
        <v>95</v>
      </c>
      <c r="T83" s="41">
        <f>AVERAGE(T3:T82)</f>
        <v>36868.287499999999</v>
      </c>
      <c r="U83" s="42">
        <f>AVERAGE(U3:U82)</f>
        <v>19799.612499999999</v>
      </c>
      <c r="V83" s="42">
        <f>AVERAGE(V3:V82)</f>
        <v>988713435.20000005</v>
      </c>
      <c r="W83" s="42">
        <f>AVERAGE(W3:W82)</f>
        <v>568855705.75484359</v>
      </c>
      <c r="X83" s="42">
        <f t="shared" ref="X83:Y83" si="24">AVERAGE(X3:X82)</f>
        <v>1928126328.9375</v>
      </c>
      <c r="Y83" s="43">
        <f t="shared" si="24"/>
        <v>619793567.08749998</v>
      </c>
      <c r="AQ83" s="111" t="s">
        <v>153</v>
      </c>
      <c r="AR83" s="41">
        <f>AVERAGE(AR3:AR82)</f>
        <v>10.244221505489978</v>
      </c>
      <c r="AS83" s="42">
        <f>AVERAGE(AS3:AS82)</f>
        <v>9.5651829085357853</v>
      </c>
      <c r="AT83" s="42">
        <f>AVERAGE(AT3:AT82)</f>
        <v>98.564041924813992</v>
      </c>
      <c r="AU83" s="42">
        <f>AVERAGE(AU3:AU82)</f>
        <v>0.74259520453977823</v>
      </c>
      <c r="AV83" s="42">
        <f t="shared" ref="AV83:AW83" si="25">AVERAGE(AV3:AV82)</f>
        <v>105.68666945808327</v>
      </c>
      <c r="AW83" s="43">
        <f t="shared" si="25"/>
        <v>92.302916738305385</v>
      </c>
    </row>
    <row r="84" spans="1:49" x14ac:dyDescent="0.3">
      <c r="A84" s="13">
        <v>82</v>
      </c>
      <c r="B84" s="21" t="s">
        <v>85</v>
      </c>
      <c r="C84" s="9">
        <v>16066</v>
      </c>
      <c r="D84" s="3">
        <f>'Показатели преступности России'!U85*1000</f>
        <v>38363</v>
      </c>
    </row>
    <row r="85" spans="1:49" x14ac:dyDescent="0.3">
      <c r="A85" s="13">
        <v>83</v>
      </c>
      <c r="B85" s="30" t="s">
        <v>86</v>
      </c>
      <c r="C85" s="29">
        <v>143564</v>
      </c>
      <c r="D85" s="28">
        <f>'Показатели преступности России'!U86*1000</f>
        <v>202149</v>
      </c>
    </row>
    <row r="86" spans="1:49" x14ac:dyDescent="0.3">
      <c r="A86" s="13">
        <v>84</v>
      </c>
      <c r="B86" s="30" t="s">
        <v>87</v>
      </c>
      <c r="C86" s="29">
        <v>62755</v>
      </c>
      <c r="D86" s="3">
        <f>'Показатели преступности России'!U87*1000</f>
        <v>11643</v>
      </c>
      <c r="O86" s="32"/>
      <c r="P86" s="33"/>
      <c r="Q86" s="33"/>
      <c r="R86" s="34"/>
    </row>
    <row r="87" spans="1:49" ht="15" thickBot="1" x14ac:dyDescent="0.35">
      <c r="A87" s="14">
        <v>85</v>
      </c>
      <c r="B87" s="22" t="s">
        <v>88</v>
      </c>
      <c r="C87" s="23">
        <v>6136</v>
      </c>
      <c r="D87" s="24">
        <f>'Показатели преступности России'!U88*1000</f>
        <v>73230</v>
      </c>
    </row>
    <row r="90" spans="1:49" x14ac:dyDescent="0.3">
      <c r="B90" s="5"/>
      <c r="C90"/>
    </row>
    <row r="91" spans="1:49" x14ac:dyDescent="0.3">
      <c r="B91" s="6"/>
      <c r="C91"/>
    </row>
  </sheetData>
  <mergeCells count="12">
    <mergeCell ref="AI1:AO1"/>
    <mergeCell ref="AA6:AB6"/>
    <mergeCell ref="AA24:AD29"/>
    <mergeCell ref="F16:H16"/>
    <mergeCell ref="A1:A2"/>
    <mergeCell ref="B1:B2"/>
    <mergeCell ref="O1:O2"/>
    <mergeCell ref="P1:P2"/>
    <mergeCell ref="AA5:AB5"/>
    <mergeCell ref="AH11:AI11"/>
    <mergeCell ref="AH10:AI10"/>
    <mergeCell ref="AK10:AP20"/>
  </mergeCells>
  <hyperlinks>
    <hyperlink ref="C90" r:id="rId1" display="http://crimestat.ru/offenses; table https://rosstat.gov.ru/labour_force" xr:uid="{A1A599E5-7330-4345-85A7-04E153D47E46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Показатели преступности России</vt:lpstr>
      <vt:lpstr>Анализ данных</vt:lpstr>
      <vt:lpstr>Лист1</vt:lpstr>
      <vt:lpstr>2021 г.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Ivanov Ivan</dc:creator>
  <cp:lastModifiedBy>Павел</cp:lastModifiedBy>
  <dcterms:created xsi:type="dcterms:W3CDTF">2024-09-17T18:56:22Z</dcterms:created>
  <dcterms:modified xsi:type="dcterms:W3CDTF">2024-11-29T20:51:46Z</dcterms:modified>
</cp:coreProperties>
</file>